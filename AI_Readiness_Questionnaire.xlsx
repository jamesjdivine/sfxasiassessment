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tegories &amp; Weights" sheetId="2" state="visible" r:id="rId4"/>
    <sheet name="Context Questions" sheetId="3" state="visible" r:id="rId5"/>
    <sheet name="Core Questions" sheetId="4" state="visible" r:id="rId6"/>
    <sheet name="Follow-Up Questions" sheetId="5" state="visible" r:id="rId7"/>
    <sheet name="Scoring Logic" sheetId="6" state="visible" r:id="rId8"/>
    <sheet name="Score Ba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<sst xmlns="http://schemas.openxmlformats.org/spreadsheetml/2006/main" count="434" uniqueCount="355">
  <si>
    <t xml:space="preserve">AI Readiness Score — Questionnaire &amp; Scoring Model</t>
  </si>
  <si>
    <t xml:space="preserve">Purpose</t>
  </si>
  <si>
    <t xml:space="preserve">Assess how well a business is positioned to adopt and benefit from AI. Produces a score from 1 to 100, similar to a credit score, along with a readiness band and tailored recommendations.</t>
  </si>
  <si>
    <t xml:space="preserve">Audience</t>
  </si>
  <si>
    <t xml:space="preserve">Business decision-makers (CEO, COO, CIO, CFO, division leaders). No technical expertise required to complete.</t>
  </si>
  <si>
    <t xml:space="preserve">Time to complete</t>
  </si>
  <si>
    <t xml:space="preserve">Under 10 minutes. 3 context questions + 23 core questions + up to 7 adaptive follow-ups.</t>
  </si>
  <si>
    <t xml:space="preserve">Score range</t>
  </si>
  <si>
    <t xml:space="preserve">1 (lowest readiness) to 100 (highest readiness). See 'Score Bands' sheet for interpretation.</t>
  </si>
  <si>
    <t xml:space="preserve">How the score is calculated</t>
  </si>
  <si>
    <t xml:space="preserve">Each answer receives points (0-4). Points are totaled per category, normalized to 100, then multiplied by the category weight. Weighted category scores are summed for the final 1-100 score. See 'Scoring Logic' sheet.</t>
  </si>
  <si>
    <t xml:space="preserve">Sheets in this workbook</t>
  </si>
  <si>
    <t xml:space="preserve">Overview • Categories &amp; Weights • Context Questions • Core Questions • Follow-Up Questions • Scoring Logic • Score Bands</t>
  </si>
  <si>
    <t xml:space="preserve">Intended use</t>
  </si>
  <si>
    <t xml:space="preserve">This workbook is the source of truth for the web app. Product/engineering should implement the questions, point values, branching rules, weights, and banding exactly as specified here.</t>
  </si>
  <si>
    <t xml:space="preserve">Scoring Categories &amp; Weights</t>
  </si>
  <si>
    <t xml:space="preserve">Code</t>
  </si>
  <si>
    <t xml:space="preserve">Category</t>
  </si>
  <si>
    <t xml:space="preserve">Weight</t>
  </si>
  <si>
    <t xml:space="preserve"># of Core Qs</t>
  </si>
  <si>
    <t xml:space="preserve">Description</t>
  </si>
  <si>
    <t xml:space="preserve">STR</t>
  </si>
  <si>
    <t xml:space="preserve">Strategy &amp; Leadership</t>
  </si>
  <si>
    <t xml:space="preserve">Executive buy-in, vision, and strategic alignment for AI.</t>
  </si>
  <si>
    <t xml:space="preserve">DAT</t>
  </si>
  <si>
    <t xml:space="preserve">Data Readiness</t>
  </si>
  <si>
    <t xml:space="preserve">Quality, accessibility, governance, and structure of business data.</t>
  </si>
  <si>
    <t xml:space="preserve">TECH</t>
  </si>
  <si>
    <t xml:space="preserve">Technology Infrastructure</t>
  </si>
  <si>
    <t xml:space="preserve">Cloud maturity, integration, and security posture.</t>
  </si>
  <si>
    <t xml:space="preserve">TAL</t>
  </si>
  <si>
    <t xml:space="preserve">Talent &amp; Skills</t>
  </si>
  <si>
    <t xml:space="preserve">Internal capabilities, upskilling, and workforce readiness.</t>
  </si>
  <si>
    <t xml:space="preserve">PRO</t>
  </si>
  <si>
    <t xml:space="preserve">Process Maturity</t>
  </si>
  <si>
    <t xml:space="preserve">Documentation, automation, and performance measurement.</t>
  </si>
  <si>
    <t xml:space="preserve">USE</t>
  </si>
  <si>
    <t xml:space="preserve">Use Cases &amp; ROI</t>
  </si>
  <si>
    <t xml:space="preserve">Clarity of AI opportunities, prioritization, and outcomes.</t>
  </si>
  <si>
    <t xml:space="preserve">ETH</t>
  </si>
  <si>
    <t xml:space="preserve">Ethics &amp; Governance</t>
  </si>
  <si>
    <t xml:space="preserve">Responsible-use policies, risk, and compliance management.</t>
  </si>
  <si>
    <t xml:space="preserve">FIN</t>
  </si>
  <si>
    <t xml:space="preserve">Financial Capacity</t>
  </si>
  <si>
    <t xml:space="preserve">Budget commitment and investment evaluation for AI.</t>
  </si>
  <si>
    <t xml:space="preserve">Total</t>
  </si>
  <si>
    <t xml:space="preserve">Context Questions (not scored — used for benchmarking and recommendations)</t>
  </si>
  <si>
    <t xml:space="preserve">Q ID</t>
  </si>
  <si>
    <t xml:space="preserve">Question</t>
  </si>
  <si>
    <t xml:space="preserve">Answer Options</t>
  </si>
  <si>
    <t xml:space="preserve">Notes</t>
  </si>
  <si>
    <t xml:space="preserve">C1</t>
  </si>
  <si>
    <t xml:space="preserve">What industry is your business in?</t>
  </si>
  <si>
    <t xml:space="preserve">Financial Services | Healthcare | Retail / E-commerce | Manufacturing | Professional Services | Technology / SaaS | Education | Government / Non-profit | Energy / Utilities | Transportation / Logistics | Media / Entertainment | Other</t>
  </si>
  <si>
    <t xml:space="preserve">Single-select; no score impact</t>
  </si>
  <si>
    <t xml:space="preserve">C2</t>
  </si>
  <si>
    <t xml:space="preserve">How many employees does your organization have?</t>
  </si>
  <si>
    <t xml:space="preserve">1-10 | 11-50 | 51-250 | 251-1,000 | 1,001-5,000 | 5,000+</t>
  </si>
  <si>
    <t xml:space="preserve">C3</t>
  </si>
  <si>
    <t xml:space="preserve">What is your organization's approximate annual revenue?</t>
  </si>
  <si>
    <t xml:space="preserve">&lt;$1M | $1M-$10M | $10M-$50M | $50M-$250M | $250M-$1B | &gt;$1B</t>
  </si>
  <si>
    <t xml:space="preserve">Core Scoring Questions (23 questions)</t>
  </si>
  <si>
    <t xml:space="preserve">Answer Option</t>
  </si>
  <si>
    <t xml:space="preserve">Points (0-4)</t>
  </si>
  <si>
    <t xml:space="preserve">Max Pts</t>
  </si>
  <si>
    <t xml:space="preserve">Branching / Notes</t>
  </si>
  <si>
    <t xml:space="preserve">Q1</t>
  </si>
  <si>
    <t xml:space="preserve">STR — Strategy &amp; Leadership</t>
  </si>
  <si>
    <t xml:space="preserve">Does your organization have a documented AI strategy?</t>
  </si>
  <si>
    <t xml:space="preserve">No strategy exists</t>
  </si>
  <si>
    <t xml:space="preserve">If answer ≥ 3, trigger Follow-Up F2.</t>
  </si>
  <si>
    <t xml:space="preserve">Informal discussions only</t>
  </si>
  <si>
    <t xml:space="preserve">Draft strategy in development</t>
  </si>
  <si>
    <t xml:space="preserve">Formal strategy exists but not broadly communicated</t>
  </si>
  <si>
    <t xml:space="preserve">Formal strategy, communicated company-wide, and being executed</t>
  </si>
  <si>
    <t xml:space="preserve">Q2</t>
  </si>
  <si>
    <t xml:space="preserve">How engaged is your executive leadership with AI initiatives?</t>
  </si>
  <si>
    <t xml:space="preserve">Not engaged or skeptical</t>
  </si>
  <si>
    <t xml:space="preserve">Aware but not actively involved</t>
  </si>
  <si>
    <t xml:space="preserve">Supportive but not directly involved</t>
  </si>
  <si>
    <t xml:space="preserve">Actively sponsoring AI initiatives</t>
  </si>
  <si>
    <t xml:space="preserve">A C-level executive owns AI/data as a primary mandate</t>
  </si>
  <si>
    <t xml:space="preserve">Q3</t>
  </si>
  <si>
    <t xml:space="preserve">How is AI reflected in your business planning?</t>
  </si>
  <si>
    <t xml:space="preserve">Not considered</t>
  </si>
  <si>
    <t xml:space="preserve">Occasionally discussed</t>
  </si>
  <si>
    <t xml:space="preserve">Included in some team/department plans</t>
  </si>
  <si>
    <t xml:space="preserve">Embedded in most department plans</t>
  </si>
  <si>
    <t xml:space="preserve">Core pillar of company-wide strategic plan</t>
  </si>
  <si>
    <t xml:space="preserve">Q4</t>
  </si>
  <si>
    <t xml:space="preserve">DAT — Data Readiness</t>
  </si>
  <si>
    <t xml:space="preserve">How is your business data primarily stored today?</t>
  </si>
  <si>
    <t xml:space="preserve">Paper or physical records</t>
  </si>
  <si>
    <t xml:space="preserve">If answer ≤ 1, trigger Follow-Up F3.</t>
  </si>
  <si>
    <t xml:space="preserve">Siloed spreadsheets and local files</t>
  </si>
  <si>
    <t xml:space="preserve">Mix of databases and spreadsheets, partially centralized</t>
  </si>
  <si>
    <t xml:space="preserve">Centralized databases or data warehouse for most data</t>
  </si>
  <si>
    <t xml:space="preserve">Fully integrated data lake/warehouse with active governance</t>
  </si>
  <si>
    <t xml:space="preserve">Q5</t>
  </si>
  <si>
    <t xml:space="preserve">How would you rate the quality of your business data (accuracy, completeness, consistency)?</t>
  </si>
  <si>
    <t xml:space="preserve">Unknown — never measured</t>
  </si>
  <si>
    <t xml:space="preserve">Known to have significant issues</t>
  </si>
  <si>
    <t xml:space="preserve">Variable depending on source</t>
  </si>
  <si>
    <t xml:space="preserve">Generally reliable with some gaps</t>
  </si>
  <si>
    <t xml:space="preserve">High quality with active quality monitoring</t>
  </si>
  <si>
    <t xml:space="preserve">Q6</t>
  </si>
  <si>
    <t xml:space="preserve">Do you have formal data governance (ownership, access, quality, retention)?</t>
  </si>
  <si>
    <t xml:space="preserve">None</t>
  </si>
  <si>
    <t xml:space="preserve">Informal practices only</t>
  </si>
  <si>
    <t xml:space="preserve">Some documented policies in specific areas</t>
  </si>
  <si>
    <t xml:space="preserve">Formal policies with named data owners</t>
  </si>
  <si>
    <t xml:space="preserve">Mature governance with dedicated team and tooling</t>
  </si>
  <si>
    <t xml:space="preserve">Q7</t>
  </si>
  <si>
    <t xml:space="preserve">How easy is it for authorized staff to access data across departments?</t>
  </si>
  <si>
    <t xml:space="preserve">Not possible without major effort</t>
  </si>
  <si>
    <t xml:space="preserve">Possible but slow; requires IT requests</t>
  </si>
  <si>
    <t xml:space="preserve">Some shared data via reports or shared drives</t>
  </si>
  <si>
    <t xml:space="preserve">Most data accessible via BI tools</t>
  </si>
  <si>
    <t xml:space="preserve">Self-service access with proper access controls</t>
  </si>
  <si>
    <t xml:space="preserve">Q8</t>
  </si>
  <si>
    <t xml:space="preserve">TECH — Technology Infrastructure</t>
  </si>
  <si>
    <t xml:space="preserve">Where does most of your technology run?</t>
  </si>
  <si>
    <t xml:space="preserve">On-premise legacy systems</t>
  </si>
  <si>
    <t xml:space="preserve">Mostly on-premise with some SaaS</t>
  </si>
  <si>
    <t xml:space="preserve">Hybrid of cloud and on-premise</t>
  </si>
  <si>
    <t xml:space="preserve">Mostly cloud-based</t>
  </si>
  <si>
    <t xml:space="preserve">Cloud-native with modern architecture (containers, microservices)</t>
  </si>
  <si>
    <t xml:space="preserve">Q9</t>
  </si>
  <si>
    <t xml:space="preserve">How do your core business systems integrate with each other?</t>
  </si>
  <si>
    <t xml:space="preserve">Mostly manual transfers (email, copy-paste)</t>
  </si>
  <si>
    <t xml:space="preserve">A few brittle point-to-point integrations</t>
  </si>
  <si>
    <t xml:space="preserve">Some API-based integrations</t>
  </si>
  <si>
    <t xml:space="preserve">Most systems connected via APIs</t>
  </si>
  <si>
    <t xml:space="preserve">Fully integrated via modern APIs and/or event streaming</t>
  </si>
  <si>
    <t xml:space="preserve">Q10</t>
  </si>
  <si>
    <t xml:space="preserve">How mature is your cybersecurity posture?</t>
  </si>
  <si>
    <t xml:space="preserve">Minimal or reactive</t>
  </si>
  <si>
    <t xml:space="preserve">Basic protections in place</t>
  </si>
  <si>
    <t xml:space="preserve">Standard industry security practices</t>
  </si>
  <si>
    <t xml:space="preserve">Proactive program with regular audits</t>
  </si>
  <si>
    <t xml:space="preserve">Enterprise-grade with dedicated team or SOC</t>
  </si>
  <si>
    <t xml:space="preserve">Q11</t>
  </si>
  <si>
    <t xml:space="preserve">TAL — Talent &amp; Skills</t>
  </si>
  <si>
    <t xml:space="preserve">Do you have staff with data or AI technical skills?</t>
  </si>
  <si>
    <t xml:space="preserve">If answer = 0, trigger Follow-Up F4. If answer ≥ 3, trigger Follow-Up F5.</t>
  </si>
  <si>
    <t xml:space="preserve">One or two generalists who dabble</t>
  </si>
  <si>
    <t xml:space="preserve">Small team of analysts or data engineers</t>
  </si>
  <si>
    <t xml:space="preserve">Dedicated data and/or ML team</t>
  </si>
  <si>
    <t xml:space="preserve">Multi-disciplinary AI/ML organization</t>
  </si>
  <si>
    <t xml:space="preserve">Q12</t>
  </si>
  <si>
    <t xml:space="preserve">How do you develop AI and data skills internally?</t>
  </si>
  <si>
    <t xml:space="preserve">No development activity</t>
  </si>
  <si>
    <t xml:space="preserve">Ad-hoc learning by individuals</t>
  </si>
  <si>
    <t xml:space="preserve">Occasional training programs offered</t>
  </si>
  <si>
    <t xml:space="preserve">Structured upskilling program</t>
  </si>
  <si>
    <t xml:space="preserve">Continuous learning culture with AI-literacy program</t>
  </si>
  <si>
    <t xml:space="preserve">Q13</t>
  </si>
  <si>
    <t xml:space="preserve">How do employees generally feel about AI at work?</t>
  </si>
  <si>
    <t xml:space="preserve">Resistant or concerned</t>
  </si>
  <si>
    <t xml:space="preserve">Uncertain</t>
  </si>
  <si>
    <t xml:space="preserve">Mixed / neutral</t>
  </si>
  <si>
    <t xml:space="preserve">Supportive and curious</t>
  </si>
  <si>
    <t xml:space="preserve">Enthusiastic and actively experimenting</t>
  </si>
  <si>
    <t xml:space="preserve">Q14</t>
  </si>
  <si>
    <t xml:space="preserve">PRO — Process Maturity</t>
  </si>
  <si>
    <t xml:space="preserve">How well-documented are your core business processes?</t>
  </si>
  <si>
    <t xml:space="preserve">Not documented</t>
  </si>
  <si>
    <t xml:space="preserve">Tribal knowledge with minimal docs</t>
  </si>
  <si>
    <t xml:space="preserve">Some processes documented</t>
  </si>
  <si>
    <t xml:space="preserve">Most core processes documented</t>
  </si>
  <si>
    <t xml:space="preserve">All core processes documented and regularly reviewed</t>
  </si>
  <si>
    <t xml:space="preserve">Q15</t>
  </si>
  <si>
    <t xml:space="preserve">How much of your work is automated (workflow automation, RPA, scripts)?</t>
  </si>
  <si>
    <t xml:space="preserve">Very little — mostly manual</t>
  </si>
  <si>
    <t xml:space="preserve">A few basic automations</t>
  </si>
  <si>
    <t xml:space="preserve">Department-specific automations</t>
  </si>
  <si>
    <t xml:space="preserve">Many processes automated across the company</t>
  </si>
  <si>
    <t xml:space="preserve">Enterprise-wide automation platform in use</t>
  </si>
  <si>
    <t xml:space="preserve">Q16</t>
  </si>
  <si>
    <t xml:space="preserve">How do you measure process and business performance?</t>
  </si>
  <si>
    <t xml:space="preserve">Not measured</t>
  </si>
  <si>
    <t xml:space="preserve">Informal / anecdotal</t>
  </si>
  <si>
    <t xml:space="preserve">Some KPIs tracked manually</t>
  </si>
  <si>
    <t xml:space="preserve">KPIs in dashboards</t>
  </si>
  <si>
    <t xml:space="preserve">Real-time monitoring with predictive alerts</t>
  </si>
  <si>
    <t xml:space="preserve">Q17</t>
  </si>
  <si>
    <t xml:space="preserve">USE — Use Cases &amp; ROI</t>
  </si>
  <si>
    <t xml:space="preserve">Have you identified specific AI use cases for your business?</t>
  </si>
  <si>
    <t xml:space="preserve">No</t>
  </si>
  <si>
    <t xml:space="preserve">Brainstormed ideas but nothing concrete</t>
  </si>
  <si>
    <t xml:space="preserve">A few use cases identified</t>
  </si>
  <si>
    <t xml:space="preserve">Prioritized portfolio of use cases</t>
  </si>
  <si>
    <t xml:space="preserve">Quantified ROI for each with a roadmap</t>
  </si>
  <si>
    <t xml:space="preserve">Q18</t>
  </si>
  <si>
    <t xml:space="preserve">Have you implemented any AI or ML solutions?</t>
  </si>
  <si>
    <t xml:space="preserve">If answer ≥ 2, trigger Follow-Up F1.</t>
  </si>
  <si>
    <t xml:space="preserve">Exploring or piloting</t>
  </si>
  <si>
    <t xml:space="preserve">One or two in production</t>
  </si>
  <si>
    <t xml:space="preserve">Several in production</t>
  </si>
  <si>
    <t xml:space="preserve">AI embedded across multiple business functions</t>
  </si>
  <si>
    <t xml:space="preserve">Q19</t>
  </si>
  <si>
    <t xml:space="preserve">How well do you understand potential AI ROI for your industry?</t>
  </si>
  <si>
    <t xml:space="preserve">Don't know</t>
  </si>
  <si>
    <t xml:space="preserve">Heard some stories</t>
  </si>
  <si>
    <t xml:space="preserve">Some internal analysis</t>
  </si>
  <si>
    <t xml:space="preserve">Detailed business case developed</t>
  </si>
  <si>
    <t xml:space="preserve">Measured ROI from existing AI initiatives</t>
  </si>
  <si>
    <t xml:space="preserve">Q20</t>
  </si>
  <si>
    <t xml:space="preserve">ETH — Ethics &amp; Governance</t>
  </si>
  <si>
    <t xml:space="preserve">Do you have AI or responsible-use policies?</t>
  </si>
  <si>
    <t xml:space="preserve">Informal awareness</t>
  </si>
  <si>
    <t xml:space="preserve">Draft policy or referenced in other docs</t>
  </si>
  <si>
    <t xml:space="preserve">Formal policy exists</t>
  </si>
  <si>
    <t xml:space="preserve">Formal policy plus review board or audit process</t>
  </si>
  <si>
    <t xml:space="preserve">Q21</t>
  </si>
  <si>
    <t xml:space="preserve">How do you manage regulatory and compliance risks for data and AI?</t>
  </si>
  <si>
    <t xml:space="preserve">Basic awareness</t>
  </si>
  <si>
    <t xml:space="preserve">Compliance handled reactively when issues arise</t>
  </si>
  <si>
    <t xml:space="preserve">Proactive compliance program</t>
  </si>
  <si>
    <t xml:space="preserve">Dedicated compliance function with AI-specific controls</t>
  </si>
  <si>
    <t xml:space="preserve">Q22</t>
  </si>
  <si>
    <t xml:space="preserve">FIN — Financial Capacity</t>
  </si>
  <si>
    <t xml:space="preserve">Do you have budget earmarked for AI or data initiatives?</t>
  </si>
  <si>
    <t xml:space="preserve">If answer ≥ 2, trigger Follow-Up F6.</t>
  </si>
  <si>
    <t xml:space="preserve">Ad-hoc / project-by-project basis</t>
  </si>
  <si>
    <t xml:space="preserve">Small dedicated annual budget</t>
  </si>
  <si>
    <t xml:space="preserve">Significant annual budget</t>
  </si>
  <si>
    <t xml:space="preserve">Multi-year committed investment</t>
  </si>
  <si>
    <t xml:space="preserve">Q23</t>
  </si>
  <si>
    <t xml:space="preserve">How do you evaluate investment in AI?</t>
  </si>
  <si>
    <t xml:space="preserve">No formal evaluation</t>
  </si>
  <si>
    <t xml:space="preserve">ROI estimated informally</t>
  </si>
  <si>
    <t xml:space="preserve">Business cases required for approval</t>
  </si>
  <si>
    <t xml:space="preserve">Structured portfolio management</t>
  </si>
  <si>
    <t xml:space="preserve">Outcomes-based funding with continuous reprioritization</t>
  </si>
  <si>
    <t xml:space="preserve">Adaptive Follow-Up Questions (shown only when trigger fires)</t>
  </si>
  <si>
    <t xml:space="preserve">F ID</t>
  </si>
  <si>
    <t xml:space="preserve">Trigger</t>
  </si>
  <si>
    <t xml:space="preserve">Bonus Pts</t>
  </si>
  <si>
    <t xml:space="preserve">Scored?</t>
  </si>
  <si>
    <t xml:space="preserve">Target Category</t>
  </si>
  <si>
    <t xml:space="preserve">F1</t>
  </si>
  <si>
    <t xml:space="preserve">If Q18 ≥ 2 (AI in production)</t>
  </si>
  <si>
    <t xml:space="preserve">Which types of AI have you deployed in production? (select all that apply)</t>
  </si>
  <si>
    <t xml:space="preserve">Predictive analytics / forecasting</t>
  </si>
  <si>
    <t xml:space="preserve">Yes</t>
  </si>
  <si>
    <t xml:space="preserve">Multi-select. +1 bonus per type, capped at +4 to category subtotal.</t>
  </si>
  <si>
    <t xml:space="preserve">Classification / decision support</t>
  </si>
  <si>
    <t xml:space="preserve">Generative AI (text, code, image)</t>
  </si>
  <si>
    <t xml:space="preserve">Computer vision</t>
  </si>
  <si>
    <t xml:space="preserve">Natural language processing / chatbots</t>
  </si>
  <si>
    <t xml:space="preserve">Recommendation systems</t>
  </si>
  <si>
    <t xml:space="preserve">F2</t>
  </si>
  <si>
    <t xml:space="preserve">If Q1 ≥ 3 (formal AI strategy exists)</t>
  </si>
  <si>
    <t xml:space="preserve">How often is your AI strategy formally reviewed and updated?</t>
  </si>
  <si>
    <t xml:space="preserve">Never</t>
  </si>
  <si>
    <t xml:space="preserve">Single-select. Replaces Q1 score with max(Q1, Q1+bonus) — see Scoring Logic.</t>
  </si>
  <si>
    <t xml:space="preserve">Ad-hoc</t>
  </si>
  <si>
    <t xml:space="preserve">Annually</t>
  </si>
  <si>
    <t xml:space="preserve">Semi-annually</t>
  </si>
  <si>
    <t xml:space="preserve">Quarterly or more often</t>
  </si>
  <si>
    <t xml:space="preserve">F3</t>
  </si>
  <si>
    <t xml:space="preserve">If Q4 ≤ 1 (low data maturity)</t>
  </si>
  <si>
    <t xml:space="preserve">What is your plan to modernize your data environment in the next 12 months?</t>
  </si>
  <si>
    <t xml:space="preserve">No plan</t>
  </si>
  <si>
    <t xml:space="preserve">—</t>
  </si>
  <si>
    <t xml:space="preserve">No (informational)</t>
  </si>
  <si>
    <t xml:space="preserve">Informational only — used for recommendations; does not change score.</t>
  </si>
  <si>
    <t xml:space="preserve">Exploring options</t>
  </si>
  <si>
    <t xml:space="preserve">Plan drafted</t>
  </si>
  <si>
    <t xml:space="preserve">Plan approved and budgeted</t>
  </si>
  <si>
    <t xml:space="preserve">Modernization already underway</t>
  </si>
  <si>
    <t xml:space="preserve">F4</t>
  </si>
  <si>
    <t xml:space="preserve">If Q11 = 0 (no data/AI staff)</t>
  </si>
  <si>
    <t xml:space="preserve">How do you plan to acquire AI/data capabilities?</t>
  </si>
  <si>
    <t xml:space="preserve">Informational only — shapes recommendations; does not change score.</t>
  </si>
  <si>
    <t xml:space="preserve">Hire new talent</t>
  </si>
  <si>
    <t xml:space="preserve">Train existing staff</t>
  </si>
  <si>
    <t xml:space="preserve">Partner with consultants / vendors</t>
  </si>
  <si>
    <t xml:space="preserve">Combination of the above</t>
  </si>
  <si>
    <t xml:space="preserve">F5</t>
  </si>
  <si>
    <t xml:space="preserve">If Q11 ≥ 3 (dedicated team)</t>
  </si>
  <si>
    <t xml:space="preserve">Does your data/AI team have an MLOps or AI platform capability?</t>
  </si>
  <si>
    <t xml:space="preserve">No — models built ad-hoc</t>
  </si>
  <si>
    <t xml:space="preserve">Single-select. Adds bonus to Technology Infrastructure category (capped at category max).</t>
  </si>
  <si>
    <t xml:space="preserve">Some tooling but not standardized</t>
  </si>
  <si>
    <t xml:space="preserve">Standardized MLOps pipeline in use</t>
  </si>
  <si>
    <t xml:space="preserve">Enterprise AI platform with monitoring and governance</t>
  </si>
  <si>
    <t xml:space="preserve">F6</t>
  </si>
  <si>
    <t xml:space="preserve">If Q22 ≥ 2 (has AI budget)</t>
  </si>
  <si>
    <t xml:space="preserve">What percentage of your annual technology budget is allocated to AI/data?</t>
  </si>
  <si>
    <t xml:space="preserve">Less than 5%</t>
  </si>
  <si>
    <t xml:space="preserve">Single-select. Adds bonus to Financial Capacity category (capped at category max).</t>
  </si>
  <si>
    <t xml:space="preserve">5% to 10%</t>
  </si>
  <si>
    <t xml:space="preserve">10% to 20%</t>
  </si>
  <si>
    <t xml:space="preserve">More than 20%</t>
  </si>
  <si>
    <t xml:space="preserve">F7</t>
  </si>
  <si>
    <t xml:space="preserve">Always asked at end</t>
  </si>
  <si>
    <t xml:space="preserve">What is the #1 business outcome you hope AI will drive? (single select)</t>
  </si>
  <si>
    <t xml:space="preserve">Cost reduction / efficiency</t>
  </si>
  <si>
    <t xml:space="preserve">Informational only — used to tailor recommendations.</t>
  </si>
  <si>
    <t xml:space="preserve">Revenue growth / new products</t>
  </si>
  <si>
    <t xml:space="preserve">Customer experience improvement</t>
  </si>
  <si>
    <t xml:space="preserve">Risk reduction / compliance</t>
  </si>
  <si>
    <t xml:space="preserve">Employee productivity</t>
  </si>
  <si>
    <t xml:space="preserve">Competitive differentiation</t>
  </si>
  <si>
    <t xml:space="preserve">Scoring Logic — How the 1-100 AI Readiness Score is Calculated</t>
  </si>
  <si>
    <t xml:space="preserve">Step</t>
  </si>
  <si>
    <t xml:space="preserve">Name</t>
  </si>
  <si>
    <t xml:space="preserve">Step 1</t>
  </si>
  <si>
    <t xml:space="preserve">Collect answers</t>
  </si>
  <si>
    <t xml:space="preserve">Each user answers 3 context questions, 23 core questions, and up to 7 branching follow-ups.</t>
  </si>
  <si>
    <t xml:space="preserve">Step 2</t>
  </si>
  <si>
    <t xml:space="preserve">Convert answers to points</t>
  </si>
  <si>
    <t xml:space="preserve">Each answer maps to a point value (0-4 for core; variable for follow-ups) as defined in the 'Core Questions' and 'Follow-Up Questions' sheets.</t>
  </si>
  <si>
    <t xml:space="preserve">Step 3</t>
  </si>
  <si>
    <t xml:space="preserve">Total per category</t>
  </si>
  <si>
    <t xml:space="preserve">Sum the points within each of the 8 categories. If a scored follow-up targets a category, add its bonus points to that category's subtotal (subtotal is capped at the category max).</t>
  </si>
  <si>
    <t xml:space="preserve">Step 4</t>
  </si>
  <si>
    <t xml:space="preserve">Normalize each category to 100</t>
  </si>
  <si>
    <t xml:space="preserve">Category % = (category points ÷ category max points) × 100. This lets categories with different numbers of questions contribute fairly.</t>
  </si>
  <si>
    <t xml:space="preserve">Step 5</t>
  </si>
  <si>
    <t xml:space="preserve">Apply category weights</t>
  </si>
  <si>
    <t xml:space="preserve">Weighted contribution = (category % × category weight). See 'Categories &amp; Weights' for weights.</t>
  </si>
  <si>
    <t xml:space="preserve">Step 6</t>
  </si>
  <si>
    <t xml:space="preserve">Sum and floor to 1-100</t>
  </si>
  <si>
    <t xml:space="preserve">Final score = ROUND(SUM of weighted contributions, 0). Floor to 1 if the computed score is 0, so that every completed questionnaire returns 1-100.</t>
  </si>
  <si>
    <t xml:space="preserve">Live Sample Calculator — change the 'Sample Points' column to see the score update</t>
  </si>
  <si>
    <t xml:space="preserve"># Qs</t>
  </si>
  <si>
    <t xml:space="preserve">Sample Points</t>
  </si>
  <si>
    <t xml:space="preserve">Category %</t>
  </si>
  <si>
    <t xml:space="preserve">Weighted Contribution</t>
  </si>
  <si>
    <t xml:space="preserve">AI READINESS SCORE (1-100)</t>
  </si>
  <si>
    <t xml:space="preserve">Readiness Band</t>
  </si>
  <si>
    <t xml:space="preserve">Notes: 'Max Pts' assumes 4 points per core question. Scored follow-ups add bonus points to their target category's subtotal, capped at the category max so no single category can exceed 100%. Blue cells are user inputs; black cells are formulas.</t>
  </si>
  <si>
    <t xml:space="preserve">Score Bands &amp; Recommended Actions</t>
  </si>
  <si>
    <t xml:space="preserve">Score From</t>
  </si>
  <si>
    <t xml:space="preserve">Score To</t>
  </si>
  <si>
    <t xml:space="preserve">What it means</t>
  </si>
  <si>
    <t xml:space="preserve">Recommended next actions</t>
  </si>
  <si>
    <t xml:space="preserve">Foundational</t>
  </si>
  <si>
    <t xml:space="preserve">Not yet AI-ready. Focus first on data, process, and leadership fundamentals.</t>
  </si>
  <si>
    <t xml:space="preserve">Build a written AI strategy; inventory data assets; digitize and document core processes.</t>
  </si>
  <si>
    <t xml:space="preserve">Developing</t>
  </si>
  <si>
    <t xml:space="preserve">Early-stage readiness with significant gaps. A few building blocks in place.</t>
  </si>
  <si>
    <t xml:space="preserve">Prioritize 1-2 pilot use cases; begin data-quality work; assign an executive sponsor.</t>
  </si>
  <si>
    <t xml:space="preserve">Emerging</t>
  </si>
  <si>
    <t xml:space="preserve">Key building blocks in place; ready for targeted pilots.</t>
  </si>
  <si>
    <t xml:space="preserve">Launch pilots tied to measurable KPIs; formalize governance; stand up a data/AI lead.</t>
  </si>
  <si>
    <t xml:space="preserve">Proficient</t>
  </si>
  <si>
    <t xml:space="preserve">Ready for scaled AI adoption across multiple functions.</t>
  </si>
  <si>
    <t xml:space="preserve">Scale successful pilots; invest in MLOps; formalize responsible-AI policy.</t>
  </si>
  <si>
    <t xml:space="preserve">Advanced</t>
  </si>
  <si>
    <t xml:space="preserve">AI-mature organization positioned for transformation.</t>
  </si>
  <si>
    <t xml:space="preserve">Continuously reprioritize portfolio; pursue competitive AI differentiators; share best practices.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</si>
</sst>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AF2F5"/>
      </patternFill>
    </fill>
    <fill>
      <patternFill patternType="solid">
        <fgColor rgb="FFEAF2F5"/>
        <bgColor rgb="FFF2F2F2"/>
      </patternFill>
    </fill>
    <fill>
      <patternFill patternType="solid">
        <fgColor rgb="FF2E8B8B"/>
        <bgColor rgb="FF008080"/>
      </patternFill>
    </fill>
    <fill>
      <patternFill patternType="solid">
        <fgColor rgb="FFFFFFCC"/>
        <bgColor rgb="FFFFF2CC"/>
      </patternFill>
    </fill>
    <fill>
      <patternFill patternType="solid">
        <fgColor rgb="FFF4B400"/>
        <bgColor rgb="FFFF99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C6E0B4"/>
        <bgColor rgb="FFBFBFBF"/>
      </patternFill>
    </fill>
    <fill>
      <patternFill patternType="solid">
        <fgColor rgb="FF9DC3E6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5"/>
      <rgbColor rgb="FF660066"/>
      <rgbColor rgb="FFFF8080"/>
      <rgbColor rgb="FF0066CC"/>
      <rgbColor rgb="FFFFF2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DC3E6"/>
      <rgbColor rgb="FFFF99CC"/>
      <rgbColor rgb="FFCC99FF"/>
      <rgbColor rgb="FFF8CBAD"/>
      <rgbColor rgb="FF3366FF"/>
      <rgbColor rgb="FF33CCCC"/>
      <rgbColor rgb="FF99CC00"/>
      <rgbColor rgb="FFF4B400"/>
      <rgbColor rgb="FFFF9900"/>
      <rgbColor rgb="FFFF6600"/>
      <rgbColor rgb="FF555555"/>
      <rgbColor rgb="FF969696"/>
      <rgbColor rgb="FF1F3A5F"/>
      <rgbColor rgb="FF2E8B8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8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42" hidden="false" customHeight="true" outlineLevel="0" collapsed="false">
      <c r="B4" s="2" t="s">
        <v>1</v>
      </c>
      <c r="C4" s="3" t="s">
        <v>2</v>
      </c>
      <c r="D4" s="3"/>
      <c r="E4" s="3"/>
      <c r="F4" s="3"/>
      <c r="G4" s="3"/>
    </row>
    <row r="5" customFormat="false" ht="42" hidden="false" customHeight="true" outlineLevel="0" collapsed="false">
      <c r="B5" s="2" t="s">
        <v>3</v>
      </c>
      <c r="C5" s="3" t="s">
        <v>4</v>
      </c>
      <c r="D5" s="3"/>
      <c r="E5" s="3"/>
      <c r="F5" s="3"/>
      <c r="G5" s="3"/>
    </row>
    <row r="6" customFormat="false" ht="42" hidden="false" customHeight="true" outlineLevel="0" collapsed="false">
      <c r="B6" s="2" t="s">
        <v>5</v>
      </c>
      <c r="C6" s="3" t="s">
        <v>6</v>
      </c>
      <c r="D6" s="3"/>
      <c r="E6" s="3"/>
      <c r="F6" s="3"/>
      <c r="G6" s="3"/>
    </row>
    <row r="7" customFormat="false" ht="42" hidden="false" customHeight="true" outlineLevel="0" collapsed="false">
      <c r="B7" s="2" t="s">
        <v>7</v>
      </c>
      <c r="C7" s="3" t="s">
        <v>8</v>
      </c>
      <c r="D7" s="3"/>
      <c r="E7" s="3"/>
      <c r="F7" s="3"/>
      <c r="G7" s="3"/>
    </row>
    <row r="8" customFormat="false" ht="42" hidden="false" customHeight="true" outlineLevel="0" collapsed="false">
      <c r="B8" s="2" t="s">
        <v>9</v>
      </c>
      <c r="C8" s="3" t="s">
        <v>10</v>
      </c>
      <c r="D8" s="3"/>
      <c r="E8" s="3"/>
      <c r="F8" s="3"/>
      <c r="G8" s="3"/>
    </row>
    <row r="9" customFormat="false" ht="42" hidden="false" customHeight="true" outlineLevel="0" collapsed="false">
      <c r="B9" s="2" t="s">
        <v>11</v>
      </c>
      <c r="C9" s="3" t="s">
        <v>12</v>
      </c>
      <c r="D9" s="3"/>
      <c r="E9" s="3"/>
      <c r="F9" s="3"/>
      <c r="G9" s="3"/>
    </row>
    <row r="10" customFormat="false" ht="42" hidden="false" customHeight="true" outlineLevel="0" collapsed="false">
      <c r="B10" s="2" t="s">
        <v>13</v>
      </c>
      <c r="C10" s="3" t="s">
        <v>14</v>
      </c>
      <c r="D10" s="3"/>
      <c r="E10" s="3"/>
      <c r="F10" s="3"/>
      <c r="G10" s="3"/>
    </row>
  </sheetData>
  <mergeCells count="8">
    <mergeCell ref="B2:G2"/>
    <mergeCell ref="C4:G4"/>
    <mergeCell ref="C5:G5"/>
    <mergeCell ref="C6:G6"/>
    <mergeCell ref="C7:G7"/>
    <mergeCell ref="C8:G8"/>
    <mergeCell ref="C9:G9"/>
    <mergeCell ref="C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4" t="s">
        <v>15</v>
      </c>
      <c r="B1" s="4"/>
      <c r="C1" s="4"/>
      <c r="D1" s="4"/>
      <c r="E1" s="4"/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31.5" hidden="false" customHeight="true" outlineLevel="0" collapsed="false">
      <c r="A4" s="6" t="s">
        <v>21</v>
      </c>
      <c r="B4" s="7" t="s">
        <v>22</v>
      </c>
      <c r="C4" s="8" t="n">
        <v>0.15</v>
      </c>
      <c r="D4" s="6" t="n">
        <v>3</v>
      </c>
      <c r="E4" s="9" t="s">
        <v>23</v>
      </c>
    </row>
    <row r="5" customFormat="false" ht="31.5" hidden="false" customHeight="true" outlineLevel="0" collapsed="false">
      <c r="A5" s="6" t="s">
        <v>24</v>
      </c>
      <c r="B5" s="7" t="s">
        <v>25</v>
      </c>
      <c r="C5" s="8" t="n">
        <v>0.18</v>
      </c>
      <c r="D5" s="6" t="n">
        <v>4</v>
      </c>
      <c r="E5" s="9" t="s">
        <v>26</v>
      </c>
    </row>
    <row r="6" customFormat="false" ht="31.5" hidden="false" customHeight="true" outlineLevel="0" collapsed="false">
      <c r="A6" s="6" t="s">
        <v>27</v>
      </c>
      <c r="B6" s="7" t="s">
        <v>28</v>
      </c>
      <c r="C6" s="8" t="n">
        <v>0.14</v>
      </c>
      <c r="D6" s="6" t="n">
        <v>3</v>
      </c>
      <c r="E6" s="9" t="s">
        <v>29</v>
      </c>
    </row>
    <row r="7" customFormat="false" ht="31.5" hidden="false" customHeight="true" outlineLevel="0" collapsed="false">
      <c r="A7" s="6" t="s">
        <v>30</v>
      </c>
      <c r="B7" s="7" t="s">
        <v>31</v>
      </c>
      <c r="C7" s="8" t="n">
        <v>0.12</v>
      </c>
      <c r="D7" s="6" t="n">
        <v>3</v>
      </c>
      <c r="E7" s="9" t="s">
        <v>32</v>
      </c>
    </row>
    <row r="8" customFormat="false" ht="31.5" hidden="false" customHeight="true" outlineLevel="0" collapsed="false">
      <c r="A8" s="6" t="s">
        <v>33</v>
      </c>
      <c r="B8" s="7" t="s">
        <v>34</v>
      </c>
      <c r="C8" s="8" t="n">
        <v>0.12</v>
      </c>
      <c r="D8" s="6" t="n">
        <v>3</v>
      </c>
      <c r="E8" s="9" t="s">
        <v>35</v>
      </c>
    </row>
    <row r="9" customFormat="false" ht="31.5" hidden="false" customHeight="true" outlineLevel="0" collapsed="false">
      <c r="A9" s="6" t="s">
        <v>36</v>
      </c>
      <c r="B9" s="7" t="s">
        <v>37</v>
      </c>
      <c r="C9" s="8" t="n">
        <v>0.14</v>
      </c>
      <c r="D9" s="6" t="n">
        <v>3</v>
      </c>
      <c r="E9" s="9" t="s">
        <v>38</v>
      </c>
    </row>
    <row r="10" customFormat="false" ht="31.5" hidden="false" customHeight="true" outlineLevel="0" collapsed="false">
      <c r="A10" s="6" t="s">
        <v>39</v>
      </c>
      <c r="B10" s="7" t="s">
        <v>40</v>
      </c>
      <c r="C10" s="8" t="n">
        <v>0.08</v>
      </c>
      <c r="D10" s="6" t="n">
        <v>2</v>
      </c>
      <c r="E10" s="9" t="s">
        <v>41</v>
      </c>
    </row>
    <row r="11" customFormat="false" ht="31.5" hidden="false" customHeight="true" outlineLevel="0" collapsed="false">
      <c r="A11" s="6" t="s">
        <v>42</v>
      </c>
      <c r="B11" s="7" t="s">
        <v>43</v>
      </c>
      <c r="C11" s="8" t="n">
        <v>0.07</v>
      </c>
      <c r="D11" s="6" t="n">
        <v>2</v>
      </c>
      <c r="E11" s="9" t="s">
        <v>44</v>
      </c>
    </row>
    <row r="12" customFormat="false" ht="15" hidden="false" customHeight="false" outlineLevel="0" collapsed="false">
      <c r="A12" s="10"/>
      <c r="B12" s="11" t="s">
        <v>45</v>
      </c>
      <c r="C12" s="12" t="n">
        <f aca="false">SUM(C4:C11)</f>
        <v>1</v>
      </c>
      <c r="D12" s="13" t="n">
        <f aca="false">SUM(D4:D11)</f>
        <v>23</v>
      </c>
      <c r="E1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25.5" hidden="false" customHeight="true" outlineLevel="0" collapsed="false">
      <c r="A1" s="4" t="s">
        <v>46</v>
      </c>
      <c r="B1" s="4"/>
      <c r="C1" s="4"/>
      <c r="D1" s="4"/>
    </row>
    <row r="3" customFormat="false" ht="15" hidden="false" customHeight="false" outlineLevel="0" collapsed="false">
      <c r="A3" s="5" t="s">
        <v>47</v>
      </c>
      <c r="B3" s="5" t="s">
        <v>48</v>
      </c>
      <c r="C3" s="5" t="s">
        <v>49</v>
      </c>
      <c r="D3" s="5" t="s">
        <v>50</v>
      </c>
    </row>
    <row r="4" customFormat="false" ht="60" hidden="false" customHeight="true" outlineLevel="0" collapsed="false">
      <c r="A4" s="6" t="s">
        <v>51</v>
      </c>
      <c r="B4" s="7" t="s">
        <v>52</v>
      </c>
      <c r="C4" s="9" t="s">
        <v>53</v>
      </c>
      <c r="D4" s="9" t="s">
        <v>54</v>
      </c>
    </row>
    <row r="5" customFormat="false" ht="30" hidden="false" customHeight="true" outlineLevel="0" collapsed="false">
      <c r="A5" s="6" t="s">
        <v>55</v>
      </c>
      <c r="B5" s="7" t="s">
        <v>56</v>
      </c>
      <c r="C5" s="9" t="s">
        <v>57</v>
      </c>
      <c r="D5" s="9" t="s">
        <v>54</v>
      </c>
    </row>
    <row r="6" customFormat="false" ht="30" hidden="false" customHeight="true" outlineLevel="0" collapsed="false">
      <c r="A6" s="6" t="s">
        <v>58</v>
      </c>
      <c r="B6" s="7" t="s">
        <v>59</v>
      </c>
      <c r="C6" s="9" t="s">
        <v>60</v>
      </c>
      <c r="D6" s="9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25.5" hidden="false" customHeight="true" outlineLevel="0" collapsed="false">
      <c r="A1" s="4" t="s">
        <v>61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47</v>
      </c>
      <c r="B3" s="5" t="s">
        <v>17</v>
      </c>
      <c r="C3" s="5" t="s">
        <v>48</v>
      </c>
      <c r="D3" s="5" t="s">
        <v>62</v>
      </c>
      <c r="E3" s="5" t="s">
        <v>63</v>
      </c>
      <c r="F3" s="5" t="s">
        <v>64</v>
      </c>
      <c r="G3" s="5" t="s">
        <v>65</v>
      </c>
    </row>
    <row r="4" customFormat="false" ht="15" hidden="false" customHeight="true" outlineLevel="0" collapsed="false">
      <c r="A4" s="6" t="s">
        <v>66</v>
      </c>
      <c r="B4" s="9" t="s">
        <v>67</v>
      </c>
      <c r="C4" s="9" t="s">
        <v>68</v>
      </c>
      <c r="D4" s="9" t="s">
        <v>69</v>
      </c>
      <c r="E4" s="6" t="n">
        <v>0</v>
      </c>
      <c r="F4" s="6" t="n">
        <v>4</v>
      </c>
      <c r="G4" s="9" t="s">
        <v>70</v>
      </c>
    </row>
    <row r="5" customFormat="false" ht="15" hidden="false" customHeight="false" outlineLevel="0" collapsed="false">
      <c r="A5" s="6"/>
      <c r="B5" s="6"/>
      <c r="C5" s="6"/>
      <c r="D5" s="9" t="s">
        <v>71</v>
      </c>
      <c r="E5" s="6" t="n">
        <v>1</v>
      </c>
      <c r="F5" s="6"/>
      <c r="G5" s="6"/>
    </row>
    <row r="6" customFormat="false" ht="15" hidden="false" customHeight="false" outlineLevel="0" collapsed="false">
      <c r="A6" s="6"/>
      <c r="B6" s="6"/>
      <c r="C6" s="6"/>
      <c r="D6" s="9" t="s">
        <v>72</v>
      </c>
      <c r="E6" s="6" t="n">
        <v>2</v>
      </c>
      <c r="F6" s="6"/>
      <c r="G6" s="6"/>
    </row>
    <row r="7" customFormat="false" ht="15" hidden="false" customHeight="false" outlineLevel="0" collapsed="false">
      <c r="A7" s="6"/>
      <c r="B7" s="6"/>
      <c r="C7" s="6"/>
      <c r="D7" s="9" t="s">
        <v>73</v>
      </c>
      <c r="E7" s="6" t="n">
        <v>3</v>
      </c>
      <c r="F7" s="6"/>
      <c r="G7" s="6"/>
    </row>
    <row r="8" customFormat="false" ht="23.85" hidden="false" customHeight="false" outlineLevel="0" collapsed="false">
      <c r="A8" s="6"/>
      <c r="B8" s="6"/>
      <c r="C8" s="6"/>
      <c r="D8" s="9" t="s">
        <v>74</v>
      </c>
      <c r="E8" s="6" t="n">
        <v>4</v>
      </c>
      <c r="F8" s="6"/>
      <c r="G8" s="6"/>
    </row>
    <row r="9" customFormat="false" ht="15" hidden="false" customHeight="true" outlineLevel="0" collapsed="false">
      <c r="A9" s="14" t="s">
        <v>75</v>
      </c>
      <c r="B9" s="15" t="s">
        <v>67</v>
      </c>
      <c r="C9" s="15" t="s">
        <v>76</v>
      </c>
      <c r="D9" s="15" t="s">
        <v>77</v>
      </c>
      <c r="E9" s="14" t="n">
        <v>0</v>
      </c>
      <c r="F9" s="14" t="n">
        <v>4</v>
      </c>
      <c r="G9" s="15"/>
    </row>
    <row r="10" customFormat="false" ht="15" hidden="false" customHeight="false" outlineLevel="0" collapsed="false">
      <c r="A10" s="14"/>
      <c r="B10" s="14"/>
      <c r="C10" s="14"/>
      <c r="D10" s="15" t="s">
        <v>78</v>
      </c>
      <c r="E10" s="14" t="n">
        <v>1</v>
      </c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5" t="s">
        <v>79</v>
      </c>
      <c r="E11" s="14" t="n">
        <v>2</v>
      </c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5" t="s">
        <v>80</v>
      </c>
      <c r="E12" s="14" t="n">
        <v>3</v>
      </c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5" t="s">
        <v>81</v>
      </c>
      <c r="E13" s="14" t="n">
        <v>4</v>
      </c>
      <c r="F13" s="14"/>
      <c r="G13" s="14"/>
    </row>
    <row r="14" customFormat="false" ht="15" hidden="false" customHeight="true" outlineLevel="0" collapsed="false">
      <c r="A14" s="6" t="s">
        <v>82</v>
      </c>
      <c r="B14" s="9" t="s">
        <v>67</v>
      </c>
      <c r="C14" s="9" t="s">
        <v>83</v>
      </c>
      <c r="D14" s="9" t="s">
        <v>84</v>
      </c>
      <c r="E14" s="6" t="n">
        <v>0</v>
      </c>
      <c r="F14" s="6" t="n">
        <v>4</v>
      </c>
      <c r="G14" s="9"/>
    </row>
    <row r="15" customFormat="false" ht="15" hidden="false" customHeight="false" outlineLevel="0" collapsed="false">
      <c r="A15" s="6"/>
      <c r="B15" s="6"/>
      <c r="C15" s="6"/>
      <c r="D15" s="9" t="s">
        <v>85</v>
      </c>
      <c r="E15" s="6" t="n">
        <v>1</v>
      </c>
      <c r="F15" s="6"/>
      <c r="G15" s="6"/>
    </row>
    <row r="16" customFormat="false" ht="15" hidden="false" customHeight="false" outlineLevel="0" collapsed="false">
      <c r="A16" s="6"/>
      <c r="B16" s="6"/>
      <c r="C16" s="6"/>
      <c r="D16" s="9" t="s">
        <v>86</v>
      </c>
      <c r="E16" s="6" t="n">
        <v>2</v>
      </c>
      <c r="F16" s="6"/>
      <c r="G16" s="6"/>
    </row>
    <row r="17" customFormat="false" ht="15" hidden="false" customHeight="false" outlineLevel="0" collapsed="false">
      <c r="A17" s="6"/>
      <c r="B17" s="6"/>
      <c r="C17" s="6"/>
      <c r="D17" s="9" t="s">
        <v>87</v>
      </c>
      <c r="E17" s="6" t="n">
        <v>3</v>
      </c>
      <c r="F17" s="6"/>
      <c r="G17" s="6"/>
    </row>
    <row r="18" customFormat="false" ht="15" hidden="false" customHeight="false" outlineLevel="0" collapsed="false">
      <c r="A18" s="6"/>
      <c r="B18" s="6"/>
      <c r="C18" s="6"/>
      <c r="D18" s="9" t="s">
        <v>88</v>
      </c>
      <c r="E18" s="6" t="n">
        <v>4</v>
      </c>
      <c r="F18" s="6"/>
      <c r="G18" s="6"/>
    </row>
    <row r="19" customFormat="false" ht="15" hidden="false" customHeight="true" outlineLevel="0" collapsed="false">
      <c r="A19" s="14" t="s">
        <v>89</v>
      </c>
      <c r="B19" s="15" t="s">
        <v>90</v>
      </c>
      <c r="C19" s="15" t="s">
        <v>91</v>
      </c>
      <c r="D19" s="15" t="s">
        <v>92</v>
      </c>
      <c r="E19" s="14" t="n">
        <v>0</v>
      </c>
      <c r="F19" s="14" t="n">
        <v>4</v>
      </c>
      <c r="G19" s="15" t="s">
        <v>93</v>
      </c>
    </row>
    <row r="20" customFormat="false" ht="15" hidden="false" customHeight="false" outlineLevel="0" collapsed="false">
      <c r="A20" s="14"/>
      <c r="B20" s="14"/>
      <c r="C20" s="14"/>
      <c r="D20" s="15" t="s">
        <v>94</v>
      </c>
      <c r="E20" s="14" t="n">
        <v>1</v>
      </c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5" t="s">
        <v>95</v>
      </c>
      <c r="E21" s="14" t="n">
        <v>2</v>
      </c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5" t="s">
        <v>96</v>
      </c>
      <c r="E22" s="14" t="n">
        <v>3</v>
      </c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5" t="s">
        <v>97</v>
      </c>
      <c r="E23" s="14" t="n">
        <v>4</v>
      </c>
      <c r="F23" s="14"/>
      <c r="G23" s="14"/>
    </row>
    <row r="24" customFormat="false" ht="15" hidden="false" customHeight="true" outlineLevel="0" collapsed="false">
      <c r="A24" s="6" t="s">
        <v>98</v>
      </c>
      <c r="B24" s="9" t="s">
        <v>90</v>
      </c>
      <c r="C24" s="9" t="s">
        <v>99</v>
      </c>
      <c r="D24" s="9" t="s">
        <v>100</v>
      </c>
      <c r="E24" s="6" t="n">
        <v>0</v>
      </c>
      <c r="F24" s="6" t="n">
        <v>4</v>
      </c>
      <c r="G24" s="9"/>
    </row>
    <row r="25" customFormat="false" ht="15" hidden="false" customHeight="false" outlineLevel="0" collapsed="false">
      <c r="A25" s="6"/>
      <c r="B25" s="6"/>
      <c r="C25" s="6"/>
      <c r="D25" s="9" t="s">
        <v>101</v>
      </c>
      <c r="E25" s="6" t="n">
        <v>1</v>
      </c>
      <c r="F25" s="6"/>
      <c r="G25" s="6"/>
    </row>
    <row r="26" customFormat="false" ht="15" hidden="false" customHeight="false" outlineLevel="0" collapsed="false">
      <c r="A26" s="6"/>
      <c r="B26" s="6"/>
      <c r="C26" s="6"/>
      <c r="D26" s="9" t="s">
        <v>102</v>
      </c>
      <c r="E26" s="6" t="n">
        <v>2</v>
      </c>
      <c r="F26" s="6"/>
      <c r="G26" s="6"/>
    </row>
    <row r="27" customFormat="false" ht="15" hidden="false" customHeight="false" outlineLevel="0" collapsed="false">
      <c r="A27" s="6"/>
      <c r="B27" s="6"/>
      <c r="C27" s="6"/>
      <c r="D27" s="9" t="s">
        <v>103</v>
      </c>
      <c r="E27" s="6" t="n">
        <v>3</v>
      </c>
      <c r="F27" s="6"/>
      <c r="G27" s="6"/>
    </row>
    <row r="28" customFormat="false" ht="15" hidden="false" customHeight="false" outlineLevel="0" collapsed="false">
      <c r="A28" s="6"/>
      <c r="B28" s="6"/>
      <c r="C28" s="6"/>
      <c r="D28" s="9" t="s">
        <v>104</v>
      </c>
      <c r="E28" s="6" t="n">
        <v>4</v>
      </c>
      <c r="F28" s="6"/>
      <c r="G28" s="6"/>
    </row>
    <row r="29" customFormat="false" ht="15" hidden="false" customHeight="true" outlineLevel="0" collapsed="false">
      <c r="A29" s="14" t="s">
        <v>105</v>
      </c>
      <c r="B29" s="15" t="s">
        <v>90</v>
      </c>
      <c r="C29" s="15" t="s">
        <v>106</v>
      </c>
      <c r="D29" s="15" t="s">
        <v>107</v>
      </c>
      <c r="E29" s="14" t="n">
        <v>0</v>
      </c>
      <c r="F29" s="14" t="n">
        <v>4</v>
      </c>
      <c r="G29" s="15"/>
    </row>
    <row r="30" customFormat="false" ht="15" hidden="false" customHeight="false" outlineLevel="0" collapsed="false">
      <c r="A30" s="14"/>
      <c r="B30" s="14"/>
      <c r="C30" s="14"/>
      <c r="D30" s="15" t="s">
        <v>108</v>
      </c>
      <c r="E30" s="14" t="n">
        <v>1</v>
      </c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5" t="s">
        <v>109</v>
      </c>
      <c r="E31" s="14" t="n">
        <v>2</v>
      </c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5" t="s">
        <v>110</v>
      </c>
      <c r="E32" s="14" t="n">
        <v>3</v>
      </c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5" t="s">
        <v>111</v>
      </c>
      <c r="E33" s="14" t="n">
        <v>4</v>
      </c>
      <c r="F33" s="14"/>
      <c r="G33" s="14"/>
    </row>
    <row r="34" customFormat="false" ht="15" hidden="false" customHeight="true" outlineLevel="0" collapsed="false">
      <c r="A34" s="6" t="s">
        <v>112</v>
      </c>
      <c r="B34" s="9" t="s">
        <v>90</v>
      </c>
      <c r="C34" s="9" t="s">
        <v>113</v>
      </c>
      <c r="D34" s="9" t="s">
        <v>114</v>
      </c>
      <c r="E34" s="6" t="n">
        <v>0</v>
      </c>
      <c r="F34" s="6" t="n">
        <v>4</v>
      </c>
      <c r="G34" s="9"/>
    </row>
    <row r="35" customFormat="false" ht="15" hidden="false" customHeight="false" outlineLevel="0" collapsed="false">
      <c r="A35" s="6"/>
      <c r="B35" s="6"/>
      <c r="C35" s="6"/>
      <c r="D35" s="9" t="s">
        <v>115</v>
      </c>
      <c r="E35" s="6" t="n">
        <v>1</v>
      </c>
      <c r="F35" s="6"/>
      <c r="G35" s="6"/>
    </row>
    <row r="36" customFormat="false" ht="15" hidden="false" customHeight="false" outlineLevel="0" collapsed="false">
      <c r="A36" s="6"/>
      <c r="B36" s="6"/>
      <c r="C36" s="6"/>
      <c r="D36" s="9" t="s">
        <v>116</v>
      </c>
      <c r="E36" s="6" t="n">
        <v>2</v>
      </c>
      <c r="F36" s="6"/>
      <c r="G36" s="6"/>
    </row>
    <row r="37" customFormat="false" ht="15" hidden="false" customHeight="false" outlineLevel="0" collapsed="false">
      <c r="A37" s="6"/>
      <c r="B37" s="6"/>
      <c r="C37" s="6"/>
      <c r="D37" s="9" t="s">
        <v>117</v>
      </c>
      <c r="E37" s="6" t="n">
        <v>3</v>
      </c>
      <c r="F37" s="6"/>
      <c r="G37" s="6"/>
    </row>
    <row r="38" customFormat="false" ht="15" hidden="false" customHeight="false" outlineLevel="0" collapsed="false">
      <c r="A38" s="6"/>
      <c r="B38" s="6"/>
      <c r="C38" s="6"/>
      <c r="D38" s="9" t="s">
        <v>118</v>
      </c>
      <c r="E38" s="6" t="n">
        <v>4</v>
      </c>
      <c r="F38" s="6"/>
      <c r="G38" s="6"/>
    </row>
    <row r="39" customFormat="false" ht="15" hidden="false" customHeight="true" outlineLevel="0" collapsed="false">
      <c r="A39" s="14" t="s">
        <v>119</v>
      </c>
      <c r="B39" s="15" t="s">
        <v>120</v>
      </c>
      <c r="C39" s="15" t="s">
        <v>121</v>
      </c>
      <c r="D39" s="15" t="s">
        <v>122</v>
      </c>
      <c r="E39" s="14" t="n">
        <v>0</v>
      </c>
      <c r="F39" s="14" t="n">
        <v>4</v>
      </c>
      <c r="G39" s="15"/>
    </row>
    <row r="40" customFormat="false" ht="15" hidden="false" customHeight="false" outlineLevel="0" collapsed="false">
      <c r="A40" s="14"/>
      <c r="B40" s="14"/>
      <c r="C40" s="14"/>
      <c r="D40" s="15" t="s">
        <v>123</v>
      </c>
      <c r="E40" s="14" t="n">
        <v>1</v>
      </c>
      <c r="F40" s="14"/>
      <c r="G40" s="14"/>
    </row>
    <row r="41" customFormat="false" ht="15" hidden="false" customHeight="false" outlineLevel="0" collapsed="false">
      <c r="A41" s="14"/>
      <c r="B41" s="14"/>
      <c r="C41" s="14"/>
      <c r="D41" s="15" t="s">
        <v>124</v>
      </c>
      <c r="E41" s="14" t="n">
        <v>2</v>
      </c>
      <c r="F41" s="14"/>
      <c r="G41" s="14"/>
    </row>
    <row r="42" customFormat="false" ht="15" hidden="false" customHeight="false" outlineLevel="0" collapsed="false">
      <c r="A42" s="14"/>
      <c r="B42" s="14"/>
      <c r="C42" s="14"/>
      <c r="D42" s="15" t="s">
        <v>125</v>
      </c>
      <c r="E42" s="14" t="n">
        <v>3</v>
      </c>
      <c r="F42" s="14"/>
      <c r="G42" s="14"/>
    </row>
    <row r="43" customFormat="false" ht="23.85" hidden="false" customHeight="false" outlineLevel="0" collapsed="false">
      <c r="A43" s="14"/>
      <c r="B43" s="14"/>
      <c r="C43" s="14"/>
      <c r="D43" s="15" t="s">
        <v>126</v>
      </c>
      <c r="E43" s="14" t="n">
        <v>4</v>
      </c>
      <c r="F43" s="14"/>
      <c r="G43" s="14"/>
    </row>
    <row r="44" customFormat="false" ht="15" hidden="false" customHeight="true" outlineLevel="0" collapsed="false">
      <c r="A44" s="6" t="s">
        <v>127</v>
      </c>
      <c r="B44" s="9" t="s">
        <v>120</v>
      </c>
      <c r="C44" s="9" t="s">
        <v>128</v>
      </c>
      <c r="D44" s="9" t="s">
        <v>129</v>
      </c>
      <c r="E44" s="6" t="n">
        <v>0</v>
      </c>
      <c r="F44" s="6" t="n">
        <v>4</v>
      </c>
      <c r="G44" s="9"/>
    </row>
    <row r="45" customFormat="false" ht="15" hidden="false" customHeight="false" outlineLevel="0" collapsed="false">
      <c r="A45" s="6"/>
      <c r="B45" s="6"/>
      <c r="C45" s="6"/>
      <c r="D45" s="9" t="s">
        <v>130</v>
      </c>
      <c r="E45" s="6" t="n">
        <v>1</v>
      </c>
      <c r="F45" s="6"/>
      <c r="G45" s="6"/>
    </row>
    <row r="46" customFormat="false" ht="15" hidden="false" customHeight="false" outlineLevel="0" collapsed="false">
      <c r="A46" s="6"/>
      <c r="B46" s="6"/>
      <c r="C46" s="6"/>
      <c r="D46" s="9" t="s">
        <v>131</v>
      </c>
      <c r="E46" s="6" t="n">
        <v>2</v>
      </c>
      <c r="F46" s="6"/>
      <c r="G46" s="6"/>
    </row>
    <row r="47" customFormat="false" ht="15" hidden="false" customHeight="false" outlineLevel="0" collapsed="false">
      <c r="A47" s="6"/>
      <c r="B47" s="6"/>
      <c r="C47" s="6"/>
      <c r="D47" s="9" t="s">
        <v>132</v>
      </c>
      <c r="E47" s="6" t="n">
        <v>3</v>
      </c>
      <c r="F47" s="6"/>
      <c r="G47" s="6"/>
    </row>
    <row r="48" customFormat="false" ht="15" hidden="false" customHeight="false" outlineLevel="0" collapsed="false">
      <c r="A48" s="6"/>
      <c r="B48" s="6"/>
      <c r="C48" s="6"/>
      <c r="D48" s="9" t="s">
        <v>133</v>
      </c>
      <c r="E48" s="6" t="n">
        <v>4</v>
      </c>
      <c r="F48" s="6"/>
      <c r="G48" s="6"/>
    </row>
    <row r="49" customFormat="false" ht="15" hidden="false" customHeight="true" outlineLevel="0" collapsed="false">
      <c r="A49" s="14" t="s">
        <v>134</v>
      </c>
      <c r="B49" s="15" t="s">
        <v>120</v>
      </c>
      <c r="C49" s="15" t="s">
        <v>135</v>
      </c>
      <c r="D49" s="15" t="s">
        <v>136</v>
      </c>
      <c r="E49" s="14" t="n">
        <v>0</v>
      </c>
      <c r="F49" s="14" t="n">
        <v>4</v>
      </c>
      <c r="G49" s="15"/>
    </row>
    <row r="50" customFormat="false" ht="15" hidden="false" customHeight="false" outlineLevel="0" collapsed="false">
      <c r="A50" s="14"/>
      <c r="B50" s="14"/>
      <c r="C50" s="14"/>
      <c r="D50" s="15" t="s">
        <v>137</v>
      </c>
      <c r="E50" s="14" t="n">
        <v>1</v>
      </c>
      <c r="F50" s="14"/>
      <c r="G50" s="14"/>
    </row>
    <row r="51" customFormat="false" ht="15" hidden="false" customHeight="false" outlineLevel="0" collapsed="false">
      <c r="A51" s="14"/>
      <c r="B51" s="14"/>
      <c r="C51" s="14"/>
      <c r="D51" s="15" t="s">
        <v>138</v>
      </c>
      <c r="E51" s="14" t="n">
        <v>2</v>
      </c>
      <c r="F51" s="14"/>
      <c r="G51" s="14"/>
    </row>
    <row r="52" customFormat="false" ht="15" hidden="false" customHeight="false" outlineLevel="0" collapsed="false">
      <c r="A52" s="14"/>
      <c r="B52" s="14"/>
      <c r="C52" s="14"/>
      <c r="D52" s="15" t="s">
        <v>139</v>
      </c>
      <c r="E52" s="14" t="n">
        <v>3</v>
      </c>
      <c r="F52" s="14"/>
      <c r="G52" s="14"/>
    </row>
    <row r="53" customFormat="false" ht="15" hidden="false" customHeight="false" outlineLevel="0" collapsed="false">
      <c r="A53" s="14"/>
      <c r="B53" s="14"/>
      <c r="C53" s="14"/>
      <c r="D53" s="15" t="s">
        <v>140</v>
      </c>
      <c r="E53" s="14" t="n">
        <v>4</v>
      </c>
      <c r="F53" s="14"/>
      <c r="G53" s="14"/>
    </row>
    <row r="54" customFormat="false" ht="15" hidden="false" customHeight="true" outlineLevel="0" collapsed="false">
      <c r="A54" s="6" t="s">
        <v>141</v>
      </c>
      <c r="B54" s="9" t="s">
        <v>142</v>
      </c>
      <c r="C54" s="9" t="s">
        <v>143</v>
      </c>
      <c r="D54" s="9" t="s">
        <v>107</v>
      </c>
      <c r="E54" s="6" t="n">
        <v>0</v>
      </c>
      <c r="F54" s="6" t="n">
        <v>4</v>
      </c>
      <c r="G54" s="9" t="s">
        <v>144</v>
      </c>
    </row>
    <row r="55" customFormat="false" ht="15" hidden="false" customHeight="false" outlineLevel="0" collapsed="false">
      <c r="A55" s="6"/>
      <c r="B55" s="6"/>
      <c r="C55" s="6"/>
      <c r="D55" s="9" t="s">
        <v>145</v>
      </c>
      <c r="E55" s="6" t="n">
        <v>1</v>
      </c>
      <c r="F55" s="6"/>
      <c r="G55" s="6"/>
    </row>
    <row r="56" customFormat="false" ht="15" hidden="false" customHeight="false" outlineLevel="0" collapsed="false">
      <c r="A56" s="6"/>
      <c r="B56" s="6"/>
      <c r="C56" s="6"/>
      <c r="D56" s="9" t="s">
        <v>146</v>
      </c>
      <c r="E56" s="6" t="n">
        <v>2</v>
      </c>
      <c r="F56" s="6"/>
      <c r="G56" s="6"/>
    </row>
    <row r="57" customFormat="false" ht="15" hidden="false" customHeight="false" outlineLevel="0" collapsed="false">
      <c r="A57" s="6"/>
      <c r="B57" s="6"/>
      <c r="C57" s="6"/>
      <c r="D57" s="9" t="s">
        <v>147</v>
      </c>
      <c r="E57" s="6" t="n">
        <v>3</v>
      </c>
      <c r="F57" s="6"/>
      <c r="G57" s="6"/>
    </row>
    <row r="58" customFormat="false" ht="15" hidden="false" customHeight="false" outlineLevel="0" collapsed="false">
      <c r="A58" s="6"/>
      <c r="B58" s="6"/>
      <c r="C58" s="6"/>
      <c r="D58" s="9" t="s">
        <v>148</v>
      </c>
      <c r="E58" s="6" t="n">
        <v>4</v>
      </c>
      <c r="F58" s="6"/>
      <c r="G58" s="6"/>
    </row>
    <row r="59" customFormat="false" ht="15" hidden="false" customHeight="true" outlineLevel="0" collapsed="false">
      <c r="A59" s="14" t="s">
        <v>149</v>
      </c>
      <c r="B59" s="15" t="s">
        <v>142</v>
      </c>
      <c r="C59" s="15" t="s">
        <v>150</v>
      </c>
      <c r="D59" s="15" t="s">
        <v>151</v>
      </c>
      <c r="E59" s="14" t="n">
        <v>0</v>
      </c>
      <c r="F59" s="14" t="n">
        <v>4</v>
      </c>
      <c r="G59" s="15"/>
    </row>
    <row r="60" customFormat="false" ht="15" hidden="false" customHeight="false" outlineLevel="0" collapsed="false">
      <c r="A60" s="14"/>
      <c r="B60" s="14"/>
      <c r="C60" s="14"/>
      <c r="D60" s="15" t="s">
        <v>152</v>
      </c>
      <c r="E60" s="14" t="n">
        <v>1</v>
      </c>
      <c r="F60" s="14"/>
      <c r="G60" s="14"/>
    </row>
    <row r="61" customFormat="false" ht="15" hidden="false" customHeight="false" outlineLevel="0" collapsed="false">
      <c r="A61" s="14"/>
      <c r="B61" s="14"/>
      <c r="C61" s="14"/>
      <c r="D61" s="15" t="s">
        <v>153</v>
      </c>
      <c r="E61" s="14" t="n">
        <v>2</v>
      </c>
      <c r="F61" s="14"/>
      <c r="G61" s="14"/>
    </row>
    <row r="62" customFormat="false" ht="15" hidden="false" customHeight="false" outlineLevel="0" collapsed="false">
      <c r="A62" s="14"/>
      <c r="B62" s="14"/>
      <c r="C62" s="14"/>
      <c r="D62" s="15" t="s">
        <v>154</v>
      </c>
      <c r="E62" s="14" t="n">
        <v>3</v>
      </c>
      <c r="F62" s="14"/>
      <c r="G62" s="14"/>
    </row>
    <row r="63" customFormat="false" ht="15" hidden="false" customHeight="false" outlineLevel="0" collapsed="false">
      <c r="A63" s="14"/>
      <c r="B63" s="14"/>
      <c r="C63" s="14"/>
      <c r="D63" s="15" t="s">
        <v>155</v>
      </c>
      <c r="E63" s="14" t="n">
        <v>4</v>
      </c>
      <c r="F63" s="14"/>
      <c r="G63" s="14"/>
    </row>
    <row r="64" customFormat="false" ht="15" hidden="false" customHeight="true" outlineLevel="0" collapsed="false">
      <c r="A64" s="6" t="s">
        <v>156</v>
      </c>
      <c r="B64" s="9" t="s">
        <v>142</v>
      </c>
      <c r="C64" s="9" t="s">
        <v>157</v>
      </c>
      <c r="D64" s="9" t="s">
        <v>158</v>
      </c>
      <c r="E64" s="6" t="n">
        <v>0</v>
      </c>
      <c r="F64" s="6" t="n">
        <v>4</v>
      </c>
      <c r="G64" s="9"/>
    </row>
    <row r="65" customFormat="false" ht="15" hidden="false" customHeight="false" outlineLevel="0" collapsed="false">
      <c r="A65" s="6"/>
      <c r="B65" s="6"/>
      <c r="C65" s="6"/>
      <c r="D65" s="9" t="s">
        <v>159</v>
      </c>
      <c r="E65" s="6" t="n">
        <v>1</v>
      </c>
      <c r="F65" s="6"/>
      <c r="G65" s="6"/>
    </row>
    <row r="66" customFormat="false" ht="15" hidden="false" customHeight="false" outlineLevel="0" collapsed="false">
      <c r="A66" s="6"/>
      <c r="B66" s="6"/>
      <c r="C66" s="6"/>
      <c r="D66" s="9" t="s">
        <v>160</v>
      </c>
      <c r="E66" s="6" t="n">
        <v>2</v>
      </c>
      <c r="F66" s="6"/>
      <c r="G66" s="6"/>
    </row>
    <row r="67" customFormat="false" ht="15" hidden="false" customHeight="false" outlineLevel="0" collapsed="false">
      <c r="A67" s="6"/>
      <c r="B67" s="6"/>
      <c r="C67" s="6"/>
      <c r="D67" s="9" t="s">
        <v>161</v>
      </c>
      <c r="E67" s="6" t="n">
        <v>3</v>
      </c>
      <c r="F67" s="6"/>
      <c r="G67" s="6"/>
    </row>
    <row r="68" customFormat="false" ht="15" hidden="false" customHeight="false" outlineLevel="0" collapsed="false">
      <c r="A68" s="6"/>
      <c r="B68" s="6"/>
      <c r="C68" s="6"/>
      <c r="D68" s="9" t="s">
        <v>162</v>
      </c>
      <c r="E68" s="6" t="n">
        <v>4</v>
      </c>
      <c r="F68" s="6"/>
      <c r="G68" s="6"/>
    </row>
    <row r="69" customFormat="false" ht="15" hidden="false" customHeight="true" outlineLevel="0" collapsed="false">
      <c r="A69" s="14" t="s">
        <v>163</v>
      </c>
      <c r="B69" s="15" t="s">
        <v>164</v>
      </c>
      <c r="C69" s="15" t="s">
        <v>165</v>
      </c>
      <c r="D69" s="15" t="s">
        <v>166</v>
      </c>
      <c r="E69" s="14" t="n">
        <v>0</v>
      </c>
      <c r="F69" s="14" t="n">
        <v>4</v>
      </c>
      <c r="G69" s="15"/>
    </row>
    <row r="70" customFormat="false" ht="15" hidden="false" customHeight="false" outlineLevel="0" collapsed="false">
      <c r="A70" s="14"/>
      <c r="B70" s="14"/>
      <c r="C70" s="14"/>
      <c r="D70" s="15" t="s">
        <v>167</v>
      </c>
      <c r="E70" s="14" t="n">
        <v>1</v>
      </c>
      <c r="F70" s="14"/>
      <c r="G70" s="14"/>
    </row>
    <row r="71" customFormat="false" ht="15" hidden="false" customHeight="false" outlineLevel="0" collapsed="false">
      <c r="A71" s="14"/>
      <c r="B71" s="14"/>
      <c r="C71" s="14"/>
      <c r="D71" s="15" t="s">
        <v>168</v>
      </c>
      <c r="E71" s="14" t="n">
        <v>2</v>
      </c>
      <c r="F71" s="14"/>
      <c r="G71" s="14"/>
    </row>
    <row r="72" customFormat="false" ht="15" hidden="false" customHeight="false" outlineLevel="0" collapsed="false">
      <c r="A72" s="14"/>
      <c r="B72" s="14"/>
      <c r="C72" s="14"/>
      <c r="D72" s="15" t="s">
        <v>169</v>
      </c>
      <c r="E72" s="14" t="n">
        <v>3</v>
      </c>
      <c r="F72" s="14"/>
      <c r="G72" s="14"/>
    </row>
    <row r="73" customFormat="false" ht="15" hidden="false" customHeight="false" outlineLevel="0" collapsed="false">
      <c r="A73" s="14"/>
      <c r="B73" s="14"/>
      <c r="C73" s="14"/>
      <c r="D73" s="15" t="s">
        <v>170</v>
      </c>
      <c r="E73" s="14" t="n">
        <v>4</v>
      </c>
      <c r="F73" s="14"/>
      <c r="G73" s="14"/>
    </row>
    <row r="74" customFormat="false" ht="15" hidden="false" customHeight="true" outlineLevel="0" collapsed="false">
      <c r="A74" s="6" t="s">
        <v>171</v>
      </c>
      <c r="B74" s="9" t="s">
        <v>164</v>
      </c>
      <c r="C74" s="9" t="s">
        <v>172</v>
      </c>
      <c r="D74" s="9" t="s">
        <v>173</v>
      </c>
      <c r="E74" s="6" t="n">
        <v>0</v>
      </c>
      <c r="F74" s="6" t="n">
        <v>4</v>
      </c>
      <c r="G74" s="9"/>
    </row>
    <row r="75" customFormat="false" ht="15" hidden="false" customHeight="false" outlineLevel="0" collapsed="false">
      <c r="A75" s="6"/>
      <c r="B75" s="6"/>
      <c r="C75" s="6"/>
      <c r="D75" s="9" t="s">
        <v>174</v>
      </c>
      <c r="E75" s="6" t="n">
        <v>1</v>
      </c>
      <c r="F75" s="6"/>
      <c r="G75" s="6"/>
    </row>
    <row r="76" customFormat="false" ht="15" hidden="false" customHeight="false" outlineLevel="0" collapsed="false">
      <c r="A76" s="6"/>
      <c r="B76" s="6"/>
      <c r="C76" s="6"/>
      <c r="D76" s="9" t="s">
        <v>175</v>
      </c>
      <c r="E76" s="6" t="n">
        <v>2</v>
      </c>
      <c r="F76" s="6"/>
      <c r="G76" s="6"/>
    </row>
    <row r="77" customFormat="false" ht="15" hidden="false" customHeight="false" outlineLevel="0" collapsed="false">
      <c r="A77" s="6"/>
      <c r="B77" s="6"/>
      <c r="C77" s="6"/>
      <c r="D77" s="9" t="s">
        <v>176</v>
      </c>
      <c r="E77" s="6" t="n">
        <v>3</v>
      </c>
      <c r="F77" s="6"/>
      <c r="G77" s="6"/>
    </row>
    <row r="78" customFormat="false" ht="15" hidden="false" customHeight="false" outlineLevel="0" collapsed="false">
      <c r="A78" s="6"/>
      <c r="B78" s="6"/>
      <c r="C78" s="6"/>
      <c r="D78" s="9" t="s">
        <v>177</v>
      </c>
      <c r="E78" s="6" t="n">
        <v>4</v>
      </c>
      <c r="F78" s="6"/>
      <c r="G78" s="6"/>
    </row>
    <row r="79" customFormat="false" ht="15" hidden="false" customHeight="true" outlineLevel="0" collapsed="false">
      <c r="A79" s="14" t="s">
        <v>178</v>
      </c>
      <c r="B79" s="15" t="s">
        <v>164</v>
      </c>
      <c r="C79" s="15" t="s">
        <v>179</v>
      </c>
      <c r="D79" s="15" t="s">
        <v>180</v>
      </c>
      <c r="E79" s="14" t="n">
        <v>0</v>
      </c>
      <c r="F79" s="14" t="n">
        <v>4</v>
      </c>
      <c r="G79" s="15"/>
    </row>
    <row r="80" customFormat="false" ht="15" hidden="false" customHeight="false" outlineLevel="0" collapsed="false">
      <c r="A80" s="14"/>
      <c r="B80" s="14"/>
      <c r="C80" s="14"/>
      <c r="D80" s="15" t="s">
        <v>181</v>
      </c>
      <c r="E80" s="14" t="n">
        <v>1</v>
      </c>
      <c r="F80" s="14"/>
      <c r="G80" s="14"/>
    </row>
    <row r="81" customFormat="false" ht="15" hidden="false" customHeight="false" outlineLevel="0" collapsed="false">
      <c r="A81" s="14"/>
      <c r="B81" s="14"/>
      <c r="C81" s="14"/>
      <c r="D81" s="15" t="s">
        <v>182</v>
      </c>
      <c r="E81" s="14" t="n">
        <v>2</v>
      </c>
      <c r="F81" s="14"/>
      <c r="G81" s="14"/>
    </row>
    <row r="82" customFormat="false" ht="15" hidden="false" customHeight="false" outlineLevel="0" collapsed="false">
      <c r="A82" s="14"/>
      <c r="B82" s="14"/>
      <c r="C82" s="14"/>
      <c r="D82" s="15" t="s">
        <v>183</v>
      </c>
      <c r="E82" s="14" t="n">
        <v>3</v>
      </c>
      <c r="F82" s="14"/>
      <c r="G82" s="14"/>
    </row>
    <row r="83" customFormat="false" ht="15" hidden="false" customHeight="false" outlineLevel="0" collapsed="false">
      <c r="A83" s="14"/>
      <c r="B83" s="14"/>
      <c r="C83" s="14"/>
      <c r="D83" s="15" t="s">
        <v>184</v>
      </c>
      <c r="E83" s="14" t="n">
        <v>4</v>
      </c>
      <c r="F83" s="14"/>
      <c r="G83" s="14"/>
    </row>
    <row r="84" customFormat="false" ht="15" hidden="false" customHeight="true" outlineLevel="0" collapsed="false">
      <c r="A84" s="6" t="s">
        <v>185</v>
      </c>
      <c r="B84" s="9" t="s">
        <v>186</v>
      </c>
      <c r="C84" s="9" t="s">
        <v>187</v>
      </c>
      <c r="D84" s="9" t="s">
        <v>188</v>
      </c>
      <c r="E84" s="6" t="n">
        <v>0</v>
      </c>
      <c r="F84" s="6" t="n">
        <v>4</v>
      </c>
      <c r="G84" s="9"/>
    </row>
    <row r="85" customFormat="false" ht="15" hidden="false" customHeight="false" outlineLevel="0" collapsed="false">
      <c r="A85" s="6"/>
      <c r="B85" s="6"/>
      <c r="C85" s="6"/>
      <c r="D85" s="9" t="s">
        <v>189</v>
      </c>
      <c r="E85" s="6" t="n">
        <v>1</v>
      </c>
      <c r="F85" s="6"/>
      <c r="G85" s="6"/>
    </row>
    <row r="86" customFormat="false" ht="15" hidden="false" customHeight="false" outlineLevel="0" collapsed="false">
      <c r="A86" s="6"/>
      <c r="B86" s="6"/>
      <c r="C86" s="6"/>
      <c r="D86" s="9" t="s">
        <v>190</v>
      </c>
      <c r="E86" s="6" t="n">
        <v>2</v>
      </c>
      <c r="F86" s="6"/>
      <c r="G86" s="6"/>
    </row>
    <row r="87" customFormat="false" ht="15" hidden="false" customHeight="false" outlineLevel="0" collapsed="false">
      <c r="A87" s="6"/>
      <c r="B87" s="6"/>
      <c r="C87" s="6"/>
      <c r="D87" s="9" t="s">
        <v>191</v>
      </c>
      <c r="E87" s="6" t="n">
        <v>3</v>
      </c>
      <c r="F87" s="6"/>
      <c r="G87" s="6"/>
    </row>
    <row r="88" customFormat="false" ht="15" hidden="false" customHeight="false" outlineLevel="0" collapsed="false">
      <c r="A88" s="6"/>
      <c r="B88" s="6"/>
      <c r="C88" s="6"/>
      <c r="D88" s="9" t="s">
        <v>192</v>
      </c>
      <c r="E88" s="6" t="n">
        <v>4</v>
      </c>
      <c r="F88" s="6"/>
      <c r="G88" s="6"/>
    </row>
    <row r="89" customFormat="false" ht="15" hidden="false" customHeight="true" outlineLevel="0" collapsed="false">
      <c r="A89" s="14" t="s">
        <v>193</v>
      </c>
      <c r="B89" s="15" t="s">
        <v>186</v>
      </c>
      <c r="C89" s="15" t="s">
        <v>194</v>
      </c>
      <c r="D89" s="15" t="s">
        <v>107</v>
      </c>
      <c r="E89" s="14" t="n">
        <v>0</v>
      </c>
      <c r="F89" s="14" t="n">
        <v>4</v>
      </c>
      <c r="G89" s="15" t="s">
        <v>195</v>
      </c>
    </row>
    <row r="90" customFormat="false" ht="15" hidden="false" customHeight="false" outlineLevel="0" collapsed="false">
      <c r="A90" s="14"/>
      <c r="B90" s="14"/>
      <c r="C90" s="14"/>
      <c r="D90" s="15" t="s">
        <v>196</v>
      </c>
      <c r="E90" s="14" t="n">
        <v>1</v>
      </c>
      <c r="F90" s="14"/>
      <c r="G90" s="14"/>
    </row>
    <row r="91" customFormat="false" ht="15" hidden="false" customHeight="false" outlineLevel="0" collapsed="false">
      <c r="A91" s="14"/>
      <c r="B91" s="14"/>
      <c r="C91" s="14"/>
      <c r="D91" s="15" t="s">
        <v>197</v>
      </c>
      <c r="E91" s="14" t="n">
        <v>2</v>
      </c>
      <c r="F91" s="14"/>
      <c r="G91" s="14"/>
    </row>
    <row r="92" customFormat="false" ht="15" hidden="false" customHeight="false" outlineLevel="0" collapsed="false">
      <c r="A92" s="14"/>
      <c r="B92" s="14"/>
      <c r="C92" s="14"/>
      <c r="D92" s="15" t="s">
        <v>198</v>
      </c>
      <c r="E92" s="14" t="n">
        <v>3</v>
      </c>
      <c r="F92" s="14"/>
      <c r="G92" s="14"/>
    </row>
    <row r="93" customFormat="false" ht="15" hidden="false" customHeight="false" outlineLevel="0" collapsed="false">
      <c r="A93" s="14"/>
      <c r="B93" s="14"/>
      <c r="C93" s="14"/>
      <c r="D93" s="15" t="s">
        <v>199</v>
      </c>
      <c r="E93" s="14" t="n">
        <v>4</v>
      </c>
      <c r="F93" s="14"/>
      <c r="G93" s="14"/>
    </row>
    <row r="94" customFormat="false" ht="15" hidden="false" customHeight="true" outlineLevel="0" collapsed="false">
      <c r="A94" s="6" t="s">
        <v>200</v>
      </c>
      <c r="B94" s="9" t="s">
        <v>186</v>
      </c>
      <c r="C94" s="9" t="s">
        <v>201</v>
      </c>
      <c r="D94" s="9" t="s">
        <v>202</v>
      </c>
      <c r="E94" s="6" t="n">
        <v>0</v>
      </c>
      <c r="F94" s="6" t="n">
        <v>4</v>
      </c>
      <c r="G94" s="9"/>
    </row>
    <row r="95" customFormat="false" ht="15" hidden="false" customHeight="false" outlineLevel="0" collapsed="false">
      <c r="A95" s="6"/>
      <c r="B95" s="6"/>
      <c r="C95" s="6"/>
      <c r="D95" s="9" t="s">
        <v>203</v>
      </c>
      <c r="E95" s="6" t="n">
        <v>1</v>
      </c>
      <c r="F95" s="6"/>
      <c r="G95" s="6"/>
    </row>
    <row r="96" customFormat="false" ht="15" hidden="false" customHeight="false" outlineLevel="0" collapsed="false">
      <c r="A96" s="6"/>
      <c r="B96" s="6"/>
      <c r="C96" s="6"/>
      <c r="D96" s="9" t="s">
        <v>204</v>
      </c>
      <c r="E96" s="6" t="n">
        <v>2</v>
      </c>
      <c r="F96" s="6"/>
      <c r="G96" s="6"/>
    </row>
    <row r="97" customFormat="false" ht="15" hidden="false" customHeight="false" outlineLevel="0" collapsed="false">
      <c r="A97" s="6"/>
      <c r="B97" s="6"/>
      <c r="C97" s="6"/>
      <c r="D97" s="9" t="s">
        <v>205</v>
      </c>
      <c r="E97" s="6" t="n">
        <v>3</v>
      </c>
      <c r="F97" s="6"/>
      <c r="G97" s="6"/>
    </row>
    <row r="98" customFormat="false" ht="15" hidden="false" customHeight="false" outlineLevel="0" collapsed="false">
      <c r="A98" s="6"/>
      <c r="B98" s="6"/>
      <c r="C98" s="6"/>
      <c r="D98" s="9" t="s">
        <v>206</v>
      </c>
      <c r="E98" s="6" t="n">
        <v>4</v>
      </c>
      <c r="F98" s="6"/>
      <c r="G98" s="6"/>
    </row>
    <row r="99" customFormat="false" ht="15" hidden="false" customHeight="true" outlineLevel="0" collapsed="false">
      <c r="A99" s="14" t="s">
        <v>207</v>
      </c>
      <c r="B99" s="15" t="s">
        <v>208</v>
      </c>
      <c r="C99" s="15" t="s">
        <v>209</v>
      </c>
      <c r="D99" s="15" t="s">
        <v>107</v>
      </c>
      <c r="E99" s="14" t="n">
        <v>0</v>
      </c>
      <c r="F99" s="14" t="n">
        <v>4</v>
      </c>
      <c r="G99" s="15"/>
    </row>
    <row r="100" customFormat="false" ht="15" hidden="false" customHeight="false" outlineLevel="0" collapsed="false">
      <c r="A100" s="14"/>
      <c r="B100" s="14"/>
      <c r="C100" s="14"/>
      <c r="D100" s="15" t="s">
        <v>210</v>
      </c>
      <c r="E100" s="14" t="n">
        <v>1</v>
      </c>
      <c r="F100" s="14"/>
      <c r="G100" s="14"/>
    </row>
    <row r="101" customFormat="false" ht="15" hidden="false" customHeight="false" outlineLevel="0" collapsed="false">
      <c r="A101" s="14"/>
      <c r="B101" s="14"/>
      <c r="C101" s="14"/>
      <c r="D101" s="15" t="s">
        <v>211</v>
      </c>
      <c r="E101" s="14" t="n">
        <v>2</v>
      </c>
      <c r="F101" s="14"/>
      <c r="G101" s="14"/>
    </row>
    <row r="102" customFormat="false" ht="15" hidden="false" customHeight="false" outlineLevel="0" collapsed="false">
      <c r="A102" s="14"/>
      <c r="B102" s="14"/>
      <c r="C102" s="14"/>
      <c r="D102" s="15" t="s">
        <v>212</v>
      </c>
      <c r="E102" s="14" t="n">
        <v>3</v>
      </c>
      <c r="F102" s="14"/>
      <c r="G102" s="14"/>
    </row>
    <row r="103" customFormat="false" ht="15" hidden="false" customHeight="false" outlineLevel="0" collapsed="false">
      <c r="A103" s="14"/>
      <c r="B103" s="14"/>
      <c r="C103" s="14"/>
      <c r="D103" s="15" t="s">
        <v>213</v>
      </c>
      <c r="E103" s="14" t="n">
        <v>4</v>
      </c>
      <c r="F103" s="14"/>
      <c r="G103" s="14"/>
    </row>
    <row r="104" customFormat="false" ht="15" hidden="false" customHeight="true" outlineLevel="0" collapsed="false">
      <c r="A104" s="6" t="s">
        <v>214</v>
      </c>
      <c r="B104" s="9" t="s">
        <v>208</v>
      </c>
      <c r="C104" s="9" t="s">
        <v>215</v>
      </c>
      <c r="D104" s="9" t="s">
        <v>84</v>
      </c>
      <c r="E104" s="6" t="n">
        <v>0</v>
      </c>
      <c r="F104" s="6" t="n">
        <v>4</v>
      </c>
      <c r="G104" s="9"/>
    </row>
    <row r="105" customFormat="false" ht="15" hidden="false" customHeight="false" outlineLevel="0" collapsed="false">
      <c r="A105" s="6"/>
      <c r="B105" s="6"/>
      <c r="C105" s="6"/>
      <c r="D105" s="9" t="s">
        <v>216</v>
      </c>
      <c r="E105" s="6" t="n">
        <v>1</v>
      </c>
      <c r="F105" s="6"/>
      <c r="G105" s="6"/>
    </row>
    <row r="106" customFormat="false" ht="15" hidden="false" customHeight="false" outlineLevel="0" collapsed="false">
      <c r="A106" s="6"/>
      <c r="B106" s="6"/>
      <c r="C106" s="6"/>
      <c r="D106" s="9" t="s">
        <v>217</v>
      </c>
      <c r="E106" s="6" t="n">
        <v>2</v>
      </c>
      <c r="F106" s="6"/>
      <c r="G106" s="6"/>
    </row>
    <row r="107" customFormat="false" ht="15" hidden="false" customHeight="false" outlineLevel="0" collapsed="false">
      <c r="A107" s="6"/>
      <c r="B107" s="6"/>
      <c r="C107" s="6"/>
      <c r="D107" s="9" t="s">
        <v>218</v>
      </c>
      <c r="E107" s="6" t="n">
        <v>3</v>
      </c>
      <c r="F107" s="6"/>
      <c r="G107" s="6"/>
    </row>
    <row r="108" customFormat="false" ht="15" hidden="false" customHeight="false" outlineLevel="0" collapsed="false">
      <c r="A108" s="6"/>
      <c r="B108" s="6"/>
      <c r="C108" s="6"/>
      <c r="D108" s="9" t="s">
        <v>219</v>
      </c>
      <c r="E108" s="6" t="n">
        <v>4</v>
      </c>
      <c r="F108" s="6"/>
      <c r="G108" s="6"/>
    </row>
    <row r="109" customFormat="false" ht="15" hidden="false" customHeight="true" outlineLevel="0" collapsed="false">
      <c r="A109" s="14" t="s">
        <v>220</v>
      </c>
      <c r="B109" s="15" t="s">
        <v>221</v>
      </c>
      <c r="C109" s="15" t="s">
        <v>222</v>
      </c>
      <c r="D109" s="15" t="s">
        <v>107</v>
      </c>
      <c r="E109" s="14" t="n">
        <v>0</v>
      </c>
      <c r="F109" s="14" t="n">
        <v>4</v>
      </c>
      <c r="G109" s="15" t="s">
        <v>223</v>
      </c>
    </row>
    <row r="110" customFormat="false" ht="15" hidden="false" customHeight="false" outlineLevel="0" collapsed="false">
      <c r="A110" s="14"/>
      <c r="B110" s="14"/>
      <c r="C110" s="14"/>
      <c r="D110" s="15" t="s">
        <v>224</v>
      </c>
      <c r="E110" s="14" t="n">
        <v>1</v>
      </c>
      <c r="F110" s="14"/>
      <c r="G110" s="14"/>
    </row>
    <row r="111" customFormat="false" ht="15" hidden="false" customHeight="false" outlineLevel="0" collapsed="false">
      <c r="A111" s="14"/>
      <c r="B111" s="14"/>
      <c r="C111" s="14"/>
      <c r="D111" s="15" t="s">
        <v>225</v>
      </c>
      <c r="E111" s="14" t="n">
        <v>2</v>
      </c>
      <c r="F111" s="14"/>
      <c r="G111" s="14"/>
    </row>
    <row r="112" customFormat="false" ht="15" hidden="false" customHeight="false" outlineLevel="0" collapsed="false">
      <c r="A112" s="14"/>
      <c r="B112" s="14"/>
      <c r="C112" s="14"/>
      <c r="D112" s="15" t="s">
        <v>226</v>
      </c>
      <c r="E112" s="14" t="n">
        <v>3</v>
      </c>
      <c r="F112" s="14"/>
      <c r="G112" s="14"/>
    </row>
    <row r="113" customFormat="false" ht="15" hidden="false" customHeight="false" outlineLevel="0" collapsed="false">
      <c r="A113" s="14"/>
      <c r="B113" s="14"/>
      <c r="C113" s="14"/>
      <c r="D113" s="15" t="s">
        <v>227</v>
      </c>
      <c r="E113" s="14" t="n">
        <v>4</v>
      </c>
      <c r="F113" s="14"/>
      <c r="G113" s="14"/>
    </row>
    <row r="114" customFormat="false" ht="15" hidden="false" customHeight="true" outlineLevel="0" collapsed="false">
      <c r="A114" s="6" t="s">
        <v>228</v>
      </c>
      <c r="B114" s="9" t="s">
        <v>221</v>
      </c>
      <c r="C114" s="9" t="s">
        <v>229</v>
      </c>
      <c r="D114" s="9" t="s">
        <v>230</v>
      </c>
      <c r="E114" s="6" t="n">
        <v>0</v>
      </c>
      <c r="F114" s="6" t="n">
        <v>4</v>
      </c>
      <c r="G114" s="9"/>
    </row>
    <row r="115" customFormat="false" ht="15" hidden="false" customHeight="false" outlineLevel="0" collapsed="false">
      <c r="A115" s="6"/>
      <c r="B115" s="6"/>
      <c r="C115" s="6"/>
      <c r="D115" s="9" t="s">
        <v>231</v>
      </c>
      <c r="E115" s="6" t="n">
        <v>1</v>
      </c>
      <c r="F115" s="6"/>
      <c r="G115" s="6"/>
    </row>
    <row r="116" customFormat="false" ht="15" hidden="false" customHeight="false" outlineLevel="0" collapsed="false">
      <c r="A116" s="6"/>
      <c r="B116" s="6"/>
      <c r="C116" s="6"/>
      <c r="D116" s="9" t="s">
        <v>232</v>
      </c>
      <c r="E116" s="6" t="n">
        <v>2</v>
      </c>
      <c r="F116" s="6"/>
      <c r="G116" s="6"/>
    </row>
    <row r="117" customFormat="false" ht="15" hidden="false" customHeight="false" outlineLevel="0" collapsed="false">
      <c r="A117" s="6"/>
      <c r="B117" s="6"/>
      <c r="C117" s="6"/>
      <c r="D117" s="9" t="s">
        <v>233</v>
      </c>
      <c r="E117" s="6" t="n">
        <v>3</v>
      </c>
      <c r="F117" s="6"/>
      <c r="G117" s="6"/>
    </row>
    <row r="118" customFormat="false" ht="15" hidden="false" customHeight="false" outlineLevel="0" collapsed="false">
      <c r="A118" s="6"/>
      <c r="B118" s="6"/>
      <c r="C118" s="6"/>
      <c r="D118" s="9" t="s">
        <v>234</v>
      </c>
      <c r="E118" s="6" t="n">
        <v>4</v>
      </c>
      <c r="F118" s="6"/>
      <c r="G118" s="6"/>
    </row>
  </sheetData>
  <mergeCells count="116">
    <mergeCell ref="A1:G1"/>
    <mergeCell ref="A4:A8"/>
    <mergeCell ref="B4:B8"/>
    <mergeCell ref="C4:C8"/>
    <mergeCell ref="F4:F8"/>
    <mergeCell ref="G4:G8"/>
    <mergeCell ref="A9:A13"/>
    <mergeCell ref="B9:B13"/>
    <mergeCell ref="C9:C13"/>
    <mergeCell ref="F9:F13"/>
    <mergeCell ref="G9:G13"/>
    <mergeCell ref="A14:A18"/>
    <mergeCell ref="B14:B18"/>
    <mergeCell ref="C14:C18"/>
    <mergeCell ref="F14:F18"/>
    <mergeCell ref="G14:G18"/>
    <mergeCell ref="A19:A23"/>
    <mergeCell ref="B19:B23"/>
    <mergeCell ref="C19:C23"/>
    <mergeCell ref="F19:F23"/>
    <mergeCell ref="G19:G23"/>
    <mergeCell ref="A24:A28"/>
    <mergeCell ref="B24:B28"/>
    <mergeCell ref="C24:C28"/>
    <mergeCell ref="F24:F28"/>
    <mergeCell ref="G24:G28"/>
    <mergeCell ref="A29:A33"/>
    <mergeCell ref="B29:B33"/>
    <mergeCell ref="C29:C33"/>
    <mergeCell ref="F29:F33"/>
    <mergeCell ref="G29:G33"/>
    <mergeCell ref="A34:A38"/>
    <mergeCell ref="B34:B38"/>
    <mergeCell ref="C34:C38"/>
    <mergeCell ref="F34:F38"/>
    <mergeCell ref="G34:G38"/>
    <mergeCell ref="A39:A43"/>
    <mergeCell ref="B39:B43"/>
    <mergeCell ref="C39:C43"/>
    <mergeCell ref="F39:F43"/>
    <mergeCell ref="G39:G43"/>
    <mergeCell ref="A44:A48"/>
    <mergeCell ref="B44:B48"/>
    <mergeCell ref="C44:C48"/>
    <mergeCell ref="F44:F48"/>
    <mergeCell ref="G44:G48"/>
    <mergeCell ref="A49:A53"/>
    <mergeCell ref="B49:B53"/>
    <mergeCell ref="C49:C53"/>
    <mergeCell ref="F49:F53"/>
    <mergeCell ref="G49:G53"/>
    <mergeCell ref="A54:A58"/>
    <mergeCell ref="B54:B58"/>
    <mergeCell ref="C54:C58"/>
    <mergeCell ref="F54:F58"/>
    <mergeCell ref="G54:G58"/>
    <mergeCell ref="A59:A63"/>
    <mergeCell ref="B59:B63"/>
    <mergeCell ref="C59:C63"/>
    <mergeCell ref="F59:F63"/>
    <mergeCell ref="G59:G63"/>
    <mergeCell ref="A64:A68"/>
    <mergeCell ref="B64:B68"/>
    <mergeCell ref="C64:C68"/>
    <mergeCell ref="F64:F68"/>
    <mergeCell ref="G64:G68"/>
    <mergeCell ref="A69:A73"/>
    <mergeCell ref="B69:B73"/>
    <mergeCell ref="C69:C73"/>
    <mergeCell ref="F69:F73"/>
    <mergeCell ref="G69:G73"/>
    <mergeCell ref="A74:A78"/>
    <mergeCell ref="B74:B78"/>
    <mergeCell ref="C74:C78"/>
    <mergeCell ref="F74:F78"/>
    <mergeCell ref="G74:G78"/>
    <mergeCell ref="A79:A83"/>
    <mergeCell ref="B79:B83"/>
    <mergeCell ref="C79:C83"/>
    <mergeCell ref="F79:F83"/>
    <mergeCell ref="G79:G83"/>
    <mergeCell ref="A84:A88"/>
    <mergeCell ref="B84:B88"/>
    <mergeCell ref="C84:C88"/>
    <mergeCell ref="F84:F88"/>
    <mergeCell ref="G84:G88"/>
    <mergeCell ref="A89:A93"/>
    <mergeCell ref="B89:B93"/>
    <mergeCell ref="C89:C93"/>
    <mergeCell ref="F89:F93"/>
    <mergeCell ref="G89:G93"/>
    <mergeCell ref="A94:A98"/>
    <mergeCell ref="B94:B98"/>
    <mergeCell ref="C94:C98"/>
    <mergeCell ref="F94:F98"/>
    <mergeCell ref="G94:G98"/>
    <mergeCell ref="A99:A103"/>
    <mergeCell ref="B99:B103"/>
    <mergeCell ref="C99:C103"/>
    <mergeCell ref="F99:F103"/>
    <mergeCell ref="G99:G103"/>
    <mergeCell ref="A104:A108"/>
    <mergeCell ref="B104:B108"/>
    <mergeCell ref="C104:C108"/>
    <mergeCell ref="F104:F108"/>
    <mergeCell ref="G104:G108"/>
    <mergeCell ref="A109:A113"/>
    <mergeCell ref="B109:B113"/>
    <mergeCell ref="C109:C113"/>
    <mergeCell ref="F109:F113"/>
    <mergeCell ref="G109:G113"/>
    <mergeCell ref="A114:A118"/>
    <mergeCell ref="B114:B118"/>
    <mergeCell ref="C114:C118"/>
    <mergeCell ref="F114:F118"/>
    <mergeCell ref="G114:G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7" min="6" style="0" width="18"/>
    <col collapsed="false" customWidth="true" hidden="false" outlineLevel="0" max="8" min="8" style="0" width="50"/>
  </cols>
  <sheetData>
    <row r="1" customFormat="false" ht="25.5" hidden="false" customHeight="true" outlineLevel="0" collapsed="false">
      <c r="A1" s="4" t="s">
        <v>235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236</v>
      </c>
      <c r="B3" s="5" t="s">
        <v>237</v>
      </c>
      <c r="C3" s="5" t="s">
        <v>48</v>
      </c>
      <c r="D3" s="5" t="s">
        <v>62</v>
      </c>
      <c r="E3" s="5" t="s">
        <v>238</v>
      </c>
      <c r="F3" s="5" t="s">
        <v>239</v>
      </c>
      <c r="G3" s="5" t="s">
        <v>240</v>
      </c>
      <c r="H3" s="5" t="s">
        <v>50</v>
      </c>
    </row>
    <row r="4" customFormat="false" ht="15" hidden="false" customHeight="true" outlineLevel="0" collapsed="false">
      <c r="A4" s="6" t="s">
        <v>241</v>
      </c>
      <c r="B4" s="9" t="s">
        <v>242</v>
      </c>
      <c r="C4" s="9" t="s">
        <v>243</v>
      </c>
      <c r="D4" s="9" t="s">
        <v>244</v>
      </c>
      <c r="E4" s="6" t="n">
        <v>1</v>
      </c>
      <c r="F4" s="6" t="s">
        <v>245</v>
      </c>
      <c r="G4" s="6" t="s">
        <v>36</v>
      </c>
      <c r="H4" s="9" t="s">
        <v>246</v>
      </c>
    </row>
    <row r="5" customFormat="false" ht="15" hidden="false" customHeight="false" outlineLevel="0" collapsed="false">
      <c r="A5" s="6"/>
      <c r="B5" s="6"/>
      <c r="C5" s="6"/>
      <c r="D5" s="9" t="s">
        <v>247</v>
      </c>
      <c r="E5" s="6" t="n">
        <v>1</v>
      </c>
      <c r="F5" s="6"/>
      <c r="G5" s="6"/>
      <c r="H5" s="6"/>
    </row>
    <row r="6" customFormat="false" ht="15" hidden="false" customHeight="false" outlineLevel="0" collapsed="false">
      <c r="A6" s="6"/>
      <c r="B6" s="6"/>
      <c r="C6" s="6"/>
      <c r="D6" s="9" t="s">
        <v>248</v>
      </c>
      <c r="E6" s="6" t="n">
        <v>1</v>
      </c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9" t="s">
        <v>249</v>
      </c>
      <c r="E7" s="6" t="n">
        <v>1</v>
      </c>
      <c r="F7" s="6"/>
      <c r="G7" s="6"/>
      <c r="H7" s="6"/>
    </row>
    <row r="8" customFormat="false" ht="15" hidden="false" customHeight="false" outlineLevel="0" collapsed="false">
      <c r="A8" s="6"/>
      <c r="B8" s="6"/>
      <c r="C8" s="6"/>
      <c r="D8" s="9" t="s">
        <v>250</v>
      </c>
      <c r="E8" s="6" t="n">
        <v>1</v>
      </c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9" t="s">
        <v>251</v>
      </c>
      <c r="E9" s="6" t="n">
        <v>1</v>
      </c>
      <c r="F9" s="6"/>
      <c r="G9" s="6"/>
      <c r="H9" s="6"/>
    </row>
    <row r="10" customFormat="false" ht="15" hidden="false" customHeight="true" outlineLevel="0" collapsed="false">
      <c r="A10" s="14" t="s">
        <v>252</v>
      </c>
      <c r="B10" s="15" t="s">
        <v>253</v>
      </c>
      <c r="C10" s="15" t="s">
        <v>254</v>
      </c>
      <c r="D10" s="15" t="s">
        <v>255</v>
      </c>
      <c r="E10" s="14" t="n">
        <v>0</v>
      </c>
      <c r="F10" s="14" t="s">
        <v>245</v>
      </c>
      <c r="G10" s="14" t="s">
        <v>21</v>
      </c>
      <c r="H10" s="15" t="s">
        <v>256</v>
      </c>
    </row>
    <row r="11" customFormat="false" ht="15" hidden="false" customHeight="false" outlineLevel="0" collapsed="false">
      <c r="A11" s="14"/>
      <c r="B11" s="14"/>
      <c r="C11" s="14"/>
      <c r="D11" s="15" t="s">
        <v>257</v>
      </c>
      <c r="E11" s="14" t="n">
        <v>1</v>
      </c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5" t="s">
        <v>258</v>
      </c>
      <c r="E12" s="14" t="n">
        <v>2</v>
      </c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5" t="s">
        <v>259</v>
      </c>
      <c r="E13" s="14" t="n">
        <v>3</v>
      </c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5" t="s">
        <v>260</v>
      </c>
      <c r="E14" s="14" t="n">
        <v>4</v>
      </c>
      <c r="F14" s="14"/>
      <c r="G14" s="14"/>
      <c r="H14" s="14"/>
    </row>
    <row r="15" customFormat="false" ht="15" hidden="false" customHeight="true" outlineLevel="0" collapsed="false">
      <c r="A15" s="6" t="s">
        <v>261</v>
      </c>
      <c r="B15" s="9" t="s">
        <v>262</v>
      </c>
      <c r="C15" s="9" t="s">
        <v>263</v>
      </c>
      <c r="D15" s="9" t="s">
        <v>264</v>
      </c>
      <c r="E15" s="6" t="s">
        <v>265</v>
      </c>
      <c r="F15" s="6" t="s">
        <v>266</v>
      </c>
      <c r="G15" s="6" t="s">
        <v>24</v>
      </c>
      <c r="H15" s="9" t="s">
        <v>267</v>
      </c>
    </row>
    <row r="16" customFormat="false" ht="15" hidden="false" customHeight="false" outlineLevel="0" collapsed="false">
      <c r="A16" s="6"/>
      <c r="B16" s="6"/>
      <c r="C16" s="6"/>
      <c r="D16" s="9" t="s">
        <v>268</v>
      </c>
      <c r="E16" s="6" t="s">
        <v>265</v>
      </c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9" t="s">
        <v>269</v>
      </c>
      <c r="E17" s="6" t="s">
        <v>265</v>
      </c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9" t="s">
        <v>270</v>
      </c>
      <c r="E18" s="6" t="s">
        <v>265</v>
      </c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9" t="s">
        <v>271</v>
      </c>
      <c r="E19" s="6" t="s">
        <v>265</v>
      </c>
      <c r="F19" s="6"/>
      <c r="G19" s="6"/>
      <c r="H19" s="6"/>
    </row>
    <row r="20" customFormat="false" ht="15" hidden="false" customHeight="true" outlineLevel="0" collapsed="false">
      <c r="A20" s="14" t="s">
        <v>272</v>
      </c>
      <c r="B20" s="15" t="s">
        <v>273</v>
      </c>
      <c r="C20" s="15" t="s">
        <v>274</v>
      </c>
      <c r="D20" s="15" t="s">
        <v>264</v>
      </c>
      <c r="E20" s="14" t="s">
        <v>265</v>
      </c>
      <c r="F20" s="14" t="s">
        <v>266</v>
      </c>
      <c r="G20" s="14" t="s">
        <v>30</v>
      </c>
      <c r="H20" s="15" t="s">
        <v>275</v>
      </c>
    </row>
    <row r="21" customFormat="false" ht="15" hidden="false" customHeight="false" outlineLevel="0" collapsed="false">
      <c r="A21" s="14"/>
      <c r="B21" s="14"/>
      <c r="C21" s="14"/>
      <c r="D21" s="15" t="s">
        <v>276</v>
      </c>
      <c r="E21" s="14" t="s">
        <v>265</v>
      </c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5" t="s">
        <v>277</v>
      </c>
      <c r="E22" s="14" t="s">
        <v>265</v>
      </c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5" t="s">
        <v>278</v>
      </c>
      <c r="E23" s="14" t="s">
        <v>265</v>
      </c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5" t="s">
        <v>279</v>
      </c>
      <c r="E24" s="14" t="s">
        <v>265</v>
      </c>
      <c r="F24" s="14"/>
      <c r="G24" s="14"/>
      <c r="H24" s="14"/>
    </row>
    <row r="25" customFormat="false" ht="15" hidden="false" customHeight="true" outlineLevel="0" collapsed="false">
      <c r="A25" s="6" t="s">
        <v>280</v>
      </c>
      <c r="B25" s="9" t="s">
        <v>281</v>
      </c>
      <c r="C25" s="9" t="s">
        <v>282</v>
      </c>
      <c r="D25" s="9" t="s">
        <v>283</v>
      </c>
      <c r="E25" s="6" t="n">
        <v>0</v>
      </c>
      <c r="F25" s="6" t="s">
        <v>245</v>
      </c>
      <c r="G25" s="6" t="s">
        <v>27</v>
      </c>
      <c r="H25" s="9" t="s">
        <v>284</v>
      </c>
    </row>
    <row r="26" customFormat="false" ht="15" hidden="false" customHeight="false" outlineLevel="0" collapsed="false">
      <c r="A26" s="6"/>
      <c r="B26" s="6"/>
      <c r="C26" s="6"/>
      <c r="D26" s="9" t="s">
        <v>285</v>
      </c>
      <c r="E26" s="6" t="n">
        <v>1</v>
      </c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9" t="s">
        <v>286</v>
      </c>
      <c r="E27" s="6" t="n">
        <v>2</v>
      </c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9" t="s">
        <v>287</v>
      </c>
      <c r="E28" s="6" t="n">
        <v>3</v>
      </c>
      <c r="F28" s="6"/>
      <c r="G28" s="6"/>
      <c r="H28" s="6"/>
    </row>
    <row r="29" customFormat="false" ht="15" hidden="false" customHeight="true" outlineLevel="0" collapsed="false">
      <c r="A29" s="14" t="s">
        <v>288</v>
      </c>
      <c r="B29" s="15" t="s">
        <v>289</v>
      </c>
      <c r="C29" s="15" t="s">
        <v>290</v>
      </c>
      <c r="D29" s="15" t="s">
        <v>291</v>
      </c>
      <c r="E29" s="14" t="n">
        <v>1</v>
      </c>
      <c r="F29" s="14" t="s">
        <v>245</v>
      </c>
      <c r="G29" s="14" t="s">
        <v>42</v>
      </c>
      <c r="H29" s="15" t="s">
        <v>292</v>
      </c>
    </row>
    <row r="30" customFormat="false" ht="15" hidden="false" customHeight="false" outlineLevel="0" collapsed="false">
      <c r="A30" s="14"/>
      <c r="B30" s="14"/>
      <c r="C30" s="14"/>
      <c r="D30" s="15" t="s">
        <v>293</v>
      </c>
      <c r="E30" s="14" t="n">
        <v>2</v>
      </c>
      <c r="F30" s="14"/>
      <c r="G30" s="14"/>
      <c r="H30" s="14"/>
    </row>
    <row r="31" customFormat="false" ht="15" hidden="false" customHeight="false" outlineLevel="0" collapsed="false">
      <c r="A31" s="14"/>
      <c r="B31" s="14"/>
      <c r="C31" s="14"/>
      <c r="D31" s="15" t="s">
        <v>294</v>
      </c>
      <c r="E31" s="14" t="n">
        <v>3</v>
      </c>
      <c r="F31" s="14"/>
      <c r="G31" s="14"/>
      <c r="H31" s="14"/>
    </row>
    <row r="32" customFormat="false" ht="15" hidden="false" customHeight="false" outlineLevel="0" collapsed="false">
      <c r="A32" s="14"/>
      <c r="B32" s="14"/>
      <c r="C32" s="14"/>
      <c r="D32" s="15" t="s">
        <v>295</v>
      </c>
      <c r="E32" s="14" t="n">
        <v>4</v>
      </c>
      <c r="F32" s="14"/>
      <c r="G32" s="14"/>
      <c r="H32" s="14"/>
    </row>
    <row r="33" customFormat="false" ht="15" hidden="false" customHeight="true" outlineLevel="0" collapsed="false">
      <c r="A33" s="6" t="s">
        <v>296</v>
      </c>
      <c r="B33" s="9" t="s">
        <v>297</v>
      </c>
      <c r="C33" s="9" t="s">
        <v>298</v>
      </c>
      <c r="D33" s="9" t="s">
        <v>299</v>
      </c>
      <c r="E33" s="6" t="s">
        <v>265</v>
      </c>
      <c r="F33" s="6" t="s">
        <v>266</v>
      </c>
      <c r="G33" s="6" t="s">
        <v>265</v>
      </c>
      <c r="H33" s="9" t="s">
        <v>300</v>
      </c>
    </row>
    <row r="34" customFormat="false" ht="15" hidden="false" customHeight="false" outlineLevel="0" collapsed="false">
      <c r="A34" s="6"/>
      <c r="B34" s="6"/>
      <c r="C34" s="6"/>
      <c r="D34" s="9" t="s">
        <v>301</v>
      </c>
      <c r="E34" s="6" t="s">
        <v>265</v>
      </c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9" t="s">
        <v>302</v>
      </c>
      <c r="E35" s="6" t="s">
        <v>265</v>
      </c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9" t="s">
        <v>303</v>
      </c>
      <c r="E36" s="6" t="s">
        <v>265</v>
      </c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9" t="s">
        <v>304</v>
      </c>
      <c r="E37" s="6" t="s">
        <v>265</v>
      </c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9" t="s">
        <v>305</v>
      </c>
      <c r="E38" s="6" t="s">
        <v>265</v>
      </c>
      <c r="F38" s="6"/>
      <c r="G38" s="6"/>
      <c r="H38" s="6"/>
    </row>
  </sheetData>
  <mergeCells count="43">
    <mergeCell ref="A1:H1"/>
    <mergeCell ref="A4:A9"/>
    <mergeCell ref="B4:B9"/>
    <mergeCell ref="C4:C9"/>
    <mergeCell ref="F4:F9"/>
    <mergeCell ref="G4:G9"/>
    <mergeCell ref="H4:H9"/>
    <mergeCell ref="A10:A14"/>
    <mergeCell ref="B10:B14"/>
    <mergeCell ref="C10:C14"/>
    <mergeCell ref="F10:F14"/>
    <mergeCell ref="G10:G14"/>
    <mergeCell ref="H10:H14"/>
    <mergeCell ref="A15:A19"/>
    <mergeCell ref="B15:B19"/>
    <mergeCell ref="C15:C19"/>
    <mergeCell ref="F15:F19"/>
    <mergeCell ref="G15:G19"/>
    <mergeCell ref="H15:H19"/>
    <mergeCell ref="A20:A24"/>
    <mergeCell ref="B20:B24"/>
    <mergeCell ref="C20:C24"/>
    <mergeCell ref="F20:F24"/>
    <mergeCell ref="G20:G24"/>
    <mergeCell ref="H20:H24"/>
    <mergeCell ref="A25:A28"/>
    <mergeCell ref="B25:B28"/>
    <mergeCell ref="C25:C28"/>
    <mergeCell ref="F25:F28"/>
    <mergeCell ref="G25:G28"/>
    <mergeCell ref="H25:H28"/>
    <mergeCell ref="A29:A32"/>
    <mergeCell ref="B29:B32"/>
    <mergeCell ref="C29:C32"/>
    <mergeCell ref="F29:F32"/>
    <mergeCell ref="G29:G32"/>
    <mergeCell ref="H29:H32"/>
    <mergeCell ref="A33:A38"/>
    <mergeCell ref="B33:B38"/>
    <mergeCell ref="C33:C38"/>
    <mergeCell ref="F33:F38"/>
    <mergeCell ref="G33:G38"/>
    <mergeCell ref="H33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4" t="s">
        <v>306</v>
      </c>
      <c r="B1" s="4"/>
      <c r="C1" s="4"/>
      <c r="D1" s="4"/>
      <c r="E1" s="4"/>
      <c r="F1" s="4"/>
      <c r="G1" s="4"/>
    </row>
    <row r="3" customFormat="false" ht="15" hidden="false" customHeight="true" outlineLevel="0" collapsed="false">
      <c r="A3" s="5" t="s">
        <v>307</v>
      </c>
      <c r="B3" s="5" t="s">
        <v>308</v>
      </c>
      <c r="C3" s="5" t="s">
        <v>20</v>
      </c>
      <c r="D3" s="5"/>
      <c r="E3" s="5"/>
      <c r="F3" s="5"/>
      <c r="G3" s="5"/>
    </row>
    <row r="4" customFormat="false" ht="42" hidden="false" customHeight="true" outlineLevel="0" collapsed="false">
      <c r="A4" s="16" t="s">
        <v>309</v>
      </c>
      <c r="B4" s="7" t="s">
        <v>310</v>
      </c>
      <c r="C4" s="9" t="s">
        <v>311</v>
      </c>
      <c r="D4" s="9"/>
      <c r="E4" s="9"/>
      <c r="F4" s="9"/>
      <c r="G4" s="9"/>
    </row>
    <row r="5" customFormat="false" ht="42" hidden="false" customHeight="true" outlineLevel="0" collapsed="false">
      <c r="A5" s="16" t="s">
        <v>312</v>
      </c>
      <c r="B5" s="7" t="s">
        <v>313</v>
      </c>
      <c r="C5" s="9" t="s">
        <v>314</v>
      </c>
      <c r="D5" s="9"/>
      <c r="E5" s="9"/>
      <c r="F5" s="9"/>
      <c r="G5" s="9"/>
    </row>
    <row r="6" customFormat="false" ht="42" hidden="false" customHeight="true" outlineLevel="0" collapsed="false">
      <c r="A6" s="16" t="s">
        <v>315</v>
      </c>
      <c r="B6" s="7" t="s">
        <v>316</v>
      </c>
      <c r="C6" s="9" t="s">
        <v>317</v>
      </c>
      <c r="D6" s="9"/>
      <c r="E6" s="9"/>
      <c r="F6" s="9"/>
      <c r="G6" s="9"/>
    </row>
    <row r="7" customFormat="false" ht="42" hidden="false" customHeight="true" outlineLevel="0" collapsed="false">
      <c r="A7" s="16" t="s">
        <v>318</v>
      </c>
      <c r="B7" s="7" t="s">
        <v>319</v>
      </c>
      <c r="C7" s="9" t="s">
        <v>320</v>
      </c>
      <c r="D7" s="9"/>
      <c r="E7" s="9"/>
      <c r="F7" s="9"/>
      <c r="G7" s="9"/>
    </row>
    <row r="8" customFormat="false" ht="42" hidden="false" customHeight="true" outlineLevel="0" collapsed="false">
      <c r="A8" s="16" t="s">
        <v>321</v>
      </c>
      <c r="B8" s="7" t="s">
        <v>322</v>
      </c>
      <c r="C8" s="9" t="s">
        <v>323</v>
      </c>
      <c r="D8" s="9"/>
      <c r="E8" s="9"/>
      <c r="F8" s="9"/>
      <c r="G8" s="9"/>
    </row>
    <row r="9" customFormat="false" ht="42" hidden="false" customHeight="true" outlineLevel="0" collapsed="false">
      <c r="A9" s="16" t="s">
        <v>324</v>
      </c>
      <c r="B9" s="7" t="s">
        <v>325</v>
      </c>
      <c r="C9" s="9" t="s">
        <v>326</v>
      </c>
      <c r="D9" s="9"/>
      <c r="E9" s="9"/>
      <c r="F9" s="9"/>
      <c r="G9" s="9"/>
    </row>
    <row r="11" customFormat="false" ht="24" hidden="false" customHeight="true" outlineLevel="0" collapsed="false">
      <c r="A11" s="17" t="s">
        <v>327</v>
      </c>
      <c r="B11" s="17"/>
      <c r="C11" s="17"/>
      <c r="D11" s="17"/>
      <c r="E11" s="17"/>
      <c r="F11" s="17"/>
      <c r="G11" s="17"/>
    </row>
    <row r="13" customFormat="false" ht="26.85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328</v>
      </c>
      <c r="E13" s="5" t="s">
        <v>64</v>
      </c>
      <c r="F13" s="5" t="s">
        <v>329</v>
      </c>
      <c r="G13" s="5" t="s">
        <v>330</v>
      </c>
      <c r="H13" s="5" t="s">
        <v>331</v>
      </c>
    </row>
    <row r="14" customFormat="false" ht="15" hidden="false" customHeight="false" outlineLevel="0" collapsed="false">
      <c r="A14" s="6" t="s">
        <v>21</v>
      </c>
      <c r="B14" s="7" t="s">
        <v>22</v>
      </c>
      <c r="C14" s="8" t="n">
        <v>0.15</v>
      </c>
      <c r="D14" s="6" t="n">
        <v>3</v>
      </c>
      <c r="E14" s="6" t="n">
        <v>12</v>
      </c>
      <c r="F14" s="18" t="n">
        <v>6</v>
      </c>
      <c r="G14" s="8" t="n">
        <f aca="false">IFERROR(F14/E14,0)</f>
        <v>0.5</v>
      </c>
      <c r="H14" s="19" t="n">
        <f aca="false">G14*C14*100</f>
        <v>7.5</v>
      </c>
    </row>
    <row r="15" customFormat="false" ht="15" hidden="false" customHeight="false" outlineLevel="0" collapsed="false">
      <c r="A15" s="6" t="s">
        <v>24</v>
      </c>
      <c r="B15" s="7" t="s">
        <v>25</v>
      </c>
      <c r="C15" s="8" t="n">
        <v>0.18</v>
      </c>
      <c r="D15" s="6" t="n">
        <v>4</v>
      </c>
      <c r="E15" s="6" t="n">
        <v>16</v>
      </c>
      <c r="F15" s="18" t="n">
        <v>8</v>
      </c>
      <c r="G15" s="8" t="n">
        <f aca="false">IFERROR(F15/E15,0)</f>
        <v>0.5</v>
      </c>
      <c r="H15" s="19" t="n">
        <f aca="false">G15*C15*100</f>
        <v>9</v>
      </c>
    </row>
    <row r="16" customFormat="false" ht="15" hidden="false" customHeight="false" outlineLevel="0" collapsed="false">
      <c r="A16" s="6" t="s">
        <v>27</v>
      </c>
      <c r="B16" s="7" t="s">
        <v>28</v>
      </c>
      <c r="C16" s="8" t="n">
        <v>0.14</v>
      </c>
      <c r="D16" s="6" t="n">
        <v>3</v>
      </c>
      <c r="E16" s="6" t="n">
        <v>12</v>
      </c>
      <c r="F16" s="18" t="n">
        <v>6</v>
      </c>
      <c r="G16" s="8" t="n">
        <f aca="false">IFERROR(F16/E16,0)</f>
        <v>0.5</v>
      </c>
      <c r="H16" s="19" t="n">
        <f aca="false">G16*C16*100</f>
        <v>7</v>
      </c>
    </row>
    <row r="17" customFormat="false" ht="15" hidden="false" customHeight="false" outlineLevel="0" collapsed="false">
      <c r="A17" s="6" t="s">
        <v>30</v>
      </c>
      <c r="B17" s="7" t="s">
        <v>31</v>
      </c>
      <c r="C17" s="8" t="n">
        <v>0.12</v>
      </c>
      <c r="D17" s="6" t="n">
        <v>3</v>
      </c>
      <c r="E17" s="6" t="n">
        <v>12</v>
      </c>
      <c r="F17" s="18" t="n">
        <v>6</v>
      </c>
      <c r="G17" s="8" t="n">
        <f aca="false">IFERROR(F17/E17,0)</f>
        <v>0.5</v>
      </c>
      <c r="H17" s="19" t="n">
        <f aca="false">G17*C17*100</f>
        <v>6</v>
      </c>
    </row>
    <row r="18" customFormat="false" ht="15" hidden="false" customHeight="false" outlineLevel="0" collapsed="false">
      <c r="A18" s="6" t="s">
        <v>33</v>
      </c>
      <c r="B18" s="7" t="s">
        <v>34</v>
      </c>
      <c r="C18" s="8" t="n">
        <v>0.12</v>
      </c>
      <c r="D18" s="6" t="n">
        <v>3</v>
      </c>
      <c r="E18" s="6" t="n">
        <v>12</v>
      </c>
      <c r="F18" s="18" t="n">
        <v>6</v>
      </c>
      <c r="G18" s="8" t="n">
        <f aca="false">IFERROR(F18/E18,0)</f>
        <v>0.5</v>
      </c>
      <c r="H18" s="19" t="n">
        <f aca="false">G18*C18*100</f>
        <v>6</v>
      </c>
    </row>
    <row r="19" customFormat="false" ht="15" hidden="false" customHeight="false" outlineLevel="0" collapsed="false">
      <c r="A19" s="6" t="s">
        <v>36</v>
      </c>
      <c r="B19" s="7" t="s">
        <v>37</v>
      </c>
      <c r="C19" s="8" t="n">
        <v>0.14</v>
      </c>
      <c r="D19" s="6" t="n">
        <v>3</v>
      </c>
      <c r="E19" s="6" t="n">
        <v>12</v>
      </c>
      <c r="F19" s="18" t="n">
        <v>6</v>
      </c>
      <c r="G19" s="8" t="n">
        <f aca="false">IFERROR(F19/E19,0)</f>
        <v>0.5</v>
      </c>
      <c r="H19" s="19" t="n">
        <f aca="false">G19*C19*100</f>
        <v>7</v>
      </c>
    </row>
    <row r="20" customFormat="false" ht="15" hidden="false" customHeight="false" outlineLevel="0" collapsed="false">
      <c r="A20" s="6" t="s">
        <v>39</v>
      </c>
      <c r="B20" s="7" t="s">
        <v>40</v>
      </c>
      <c r="C20" s="8" t="n">
        <v>0.08</v>
      </c>
      <c r="D20" s="6" t="n">
        <v>2</v>
      </c>
      <c r="E20" s="6" t="n">
        <v>8</v>
      </c>
      <c r="F20" s="18" t="n">
        <v>4</v>
      </c>
      <c r="G20" s="8" t="n">
        <f aca="false">IFERROR(F20/E20,0)</f>
        <v>0.5</v>
      </c>
      <c r="H20" s="19" t="n">
        <f aca="false">G20*C20*100</f>
        <v>4</v>
      </c>
    </row>
    <row r="21" customFormat="false" ht="15" hidden="false" customHeight="false" outlineLevel="0" collapsed="false">
      <c r="A21" s="6" t="s">
        <v>42</v>
      </c>
      <c r="B21" s="7" t="s">
        <v>43</v>
      </c>
      <c r="C21" s="8" t="n">
        <v>0.07</v>
      </c>
      <c r="D21" s="6" t="n">
        <v>2</v>
      </c>
      <c r="E21" s="6" t="n">
        <v>8</v>
      </c>
      <c r="F21" s="18" t="n">
        <v>4</v>
      </c>
      <c r="G21" s="8" t="n">
        <f aca="false">IFERROR(F21/E21,0)</f>
        <v>0.5</v>
      </c>
      <c r="H21" s="19" t="n">
        <f aca="false">G21*C21*100</f>
        <v>3.5</v>
      </c>
    </row>
    <row r="22" customFormat="false" ht="15" hidden="false" customHeight="false" outlineLevel="0" collapsed="false">
      <c r="A22" s="10"/>
      <c r="B22" s="11" t="s">
        <v>45</v>
      </c>
      <c r="C22" s="12" t="n">
        <f aca="false">SUM(C14:C21)</f>
        <v>1</v>
      </c>
      <c r="D22" s="13" t="n">
        <f aca="false">SUM(D14:D21)</f>
        <v>23</v>
      </c>
      <c r="E22" s="13" t="n">
        <f aca="false">SUM(E14:E21)</f>
        <v>92</v>
      </c>
      <c r="F22" s="13" t="n">
        <f aca="false">SUM(F14:F21)</f>
        <v>46</v>
      </c>
      <c r="G22" s="10"/>
      <c r="H22" s="20" t="n">
        <f aca="false">SUM(H14:H21)</f>
        <v>50</v>
      </c>
    </row>
    <row r="24" customFormat="false" ht="27.75" hidden="false" customHeight="true" outlineLevel="0" collapsed="false">
      <c r="B24" s="21" t="s">
        <v>332</v>
      </c>
      <c r="C24" s="22" t="n">
        <f aca="false">MAX(1,ROUND(H22,0))</f>
        <v>50</v>
      </c>
      <c r="D24" s="22"/>
      <c r="E24" s="23" t="s">
        <v>333</v>
      </c>
      <c r="F24" s="24" t="str">
        <f aca="false">IF(C24&gt;=81,"Advanced",IF(C24&gt;=61,"Proficient",IF(C24&gt;=41,"Emerging",IF(C24&gt;=21,"Developing","Foundational"))))</f>
        <v>Emerging</v>
      </c>
      <c r="G24" s="24"/>
      <c r="H24" s="24"/>
    </row>
    <row r="26" customFormat="false" ht="22.35" hidden="false" customHeight="true" outlineLevel="0" collapsed="false">
      <c r="A26" s="25" t="s">
        <v>334</v>
      </c>
      <c r="B26" s="25"/>
      <c r="C26" s="25"/>
      <c r="D26" s="25"/>
      <c r="E26" s="25"/>
      <c r="F26" s="25"/>
      <c r="G26" s="25"/>
      <c r="H26" s="25"/>
    </row>
  </sheetData>
  <mergeCells count="12">
    <mergeCell ref="A1:G1"/>
    <mergeCell ref="C3:G3"/>
    <mergeCell ref="C4:G4"/>
    <mergeCell ref="C5:G5"/>
    <mergeCell ref="C6:G6"/>
    <mergeCell ref="C7:G7"/>
    <mergeCell ref="C8:G8"/>
    <mergeCell ref="C9:G9"/>
    <mergeCell ref="A11:G11"/>
    <mergeCell ref="C24:D24"/>
    <mergeCell ref="F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54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4" t="s">
        <v>335</v>
      </c>
      <c r="B1" s="4"/>
      <c r="C1" s="4"/>
      <c r="D1" s="4"/>
      <c r="E1" s="4"/>
    </row>
    <row r="3" customFormat="false" ht="26.85" hidden="false" customHeight="false" outlineLevel="0" collapsed="false">
      <c r="A3" s="5" t="s">
        <v>336</v>
      </c>
      <c r="B3" s="5" t="s">
        <v>337</v>
      </c>
      <c r="C3" s="5" t="s">
        <v>333</v>
      </c>
      <c r="D3" s="5" t="s">
        <v>338</v>
      </c>
      <c r="E3" s="5" t="s">
        <v>339</v>
      </c>
    </row>
    <row r="4" customFormat="false" ht="51.75" hidden="false" customHeight="true" outlineLevel="0" collapsed="false">
      <c r="A4" s="26" t="n">
        <v>1</v>
      </c>
      <c r="B4" s="26" t="n">
        <v>20</v>
      </c>
      <c r="C4" s="27" t="s">
        <v>340</v>
      </c>
      <c r="D4" s="28" t="s">
        <v>341</v>
      </c>
      <c r="E4" s="28" t="s">
        <v>342</v>
      </c>
    </row>
    <row r="5" customFormat="false" ht="51.75" hidden="false" customHeight="true" outlineLevel="0" collapsed="false">
      <c r="A5" s="29" t="n">
        <v>21</v>
      </c>
      <c r="B5" s="29" t="n">
        <v>40</v>
      </c>
      <c r="C5" s="30" t="s">
        <v>343</v>
      </c>
      <c r="D5" s="31" t="s">
        <v>344</v>
      </c>
      <c r="E5" s="31" t="s">
        <v>345</v>
      </c>
    </row>
    <row r="6" customFormat="false" ht="51.75" hidden="false" customHeight="true" outlineLevel="0" collapsed="false">
      <c r="A6" s="32" t="n">
        <v>41</v>
      </c>
      <c r="B6" s="32" t="n">
        <v>60</v>
      </c>
      <c r="C6" s="33" t="s">
        <v>346</v>
      </c>
      <c r="D6" s="34" t="s">
        <v>347</v>
      </c>
      <c r="E6" s="34" t="s">
        <v>348</v>
      </c>
    </row>
    <row r="7" customFormat="false" ht="51.75" hidden="false" customHeight="true" outlineLevel="0" collapsed="false">
      <c r="A7" s="35" t="n">
        <v>61</v>
      </c>
      <c r="B7" s="35" t="n">
        <v>80</v>
      </c>
      <c r="C7" s="36" t="s">
        <v>349</v>
      </c>
      <c r="D7" s="37" t="s">
        <v>350</v>
      </c>
      <c r="E7" s="37" t="s">
        <v>351</v>
      </c>
    </row>
    <row r="8" customFormat="false" ht="51.75" hidden="false" customHeight="true" outlineLevel="0" collapsed="false">
      <c r="A8" s="38" t="n">
        <v>81</v>
      </c>
      <c r="B8" s="38" t="n">
        <v>100</v>
      </c>
      <c r="C8" s="39" t="s">
        <v>352</v>
      </c>
      <c r="D8" s="40" t="s">
        <v>353</v>
      </c>
      <c r="E8" s="40" t="s">
        <v>354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2026-04-23T17:01:53Z</dcterms:created>
  <dc:creator>openpyxl</dc:creator>
  <dc:description/>
  <dc:language>en-US</dc:language>
  <cp:lastModifiedBy/>
  <dcterms:modified xsi:type="dcterms:W3CDTF">2026-04-23T17:01:53Z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